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uerdo" sheetId="1" r:id="rId4"/>
    <sheet name="Calculadora" sheetId="2" r:id="rId5"/>
    <sheet name="Tracking" sheetId="3" r:id="rId6"/>
    <sheet name="Plane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<sst xmlns="http://schemas.openxmlformats.org/spreadsheetml/2006/main" uniqueCount="92">
  <si>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ACUERDO COMERCIAL — VENDEDOR DocFácil</t>
  </si>
  <si>
    <t>1. Esquema de comisión</t>
  </si>
  <si>
    <t xml:space="preserve">  • La comisión por cada nueva clínica vendida es de 1.5× la primera mensualidad del plan contratado.</t>
  </si>
  <si>
    <t xml:space="preserve">  • Ejemplo: plan Pro $299/mes → comisión total $448.50 por venta.</t>
  </si>
  <si>
    <t xml:space="preserve">  • Aplica a todos los planes de pago: Básico, Pro y Clínica. El plan Free NO paga comisión.</t>
  </si>
  <si>
    <t>2. Pago en dos exhibiciones (split 50/50)</t>
  </si>
  <si>
    <t xml:space="preserve">  • 50% (primera mitad) se paga cuando la clínica realiza su PRIMER pago real al sistema.</t>
  </si>
  <si>
    <t xml:space="preserve">  • 50% (segunda mitad) se paga cuando la clínica realiza su SEGUNDO pago mensual.</t>
  </si>
  <si>
    <t xml:space="preserve">  • Ejemplo Pro: $224.25 al 1er pago + $224.25 al 2do pago = $448.50 total.</t>
  </si>
  <si>
    <t xml:space="preserve">  • Si la clínica NO hace el 2do pago, la segunda mitad no se paga.</t>
  </si>
  <si>
    <t>3. Clawback (devolución de comisión)</t>
  </si>
  <si>
    <t xml:space="preserve">  • Si la clínica cancela antes de 90 días desde la fecha de venta, las comisiones quedan en estado "clawback".</t>
  </si>
  <si>
    <t xml:space="preserve">  • Las comisiones en clawback ya pagadas se descuentan del siguiente corte de pagos.</t>
  </si>
  <si>
    <t xml:space="preserve">  • Si la cancelación ocurre después de 90 días, NO hay clawback y el vendedor se queda con todo lo ganado.</t>
  </si>
  <si>
    <t>4. Atribución de la venta</t>
  </si>
  <si>
    <t xml:space="preserve">  • Cada vendedor recibe un código único (ej. "VND-JUAN42").</t>
  </si>
  <si>
    <t xml:space="preserve">  • Link personalizado de registro: https://docfacil.tu-app.co/doctor/register?vnd=TU_CODIGO</t>
  </si>
  <si>
    <t xml:space="preserve">  • Cuando un doctor se registra con tu código, la clínica queda marcada como vendida por ti automáticamente.</t>
  </si>
  <si>
    <t xml:space="preserve">  • Una vez asignada, la atribución es inmutable: no se puede transferir a otro vendedor.</t>
  </si>
  <si>
    <t>5. Seguimiento y panel del vendedor</t>
  </si>
  <si>
    <t xml:space="preserve">  • Acceso al panel en: https://docfacil.tu-app.co/ventas/login</t>
  </si>
  <si>
    <t xml:space="preserve">  • En tu panel puedes ver: tus prospectos, sus estados, tus comisiones pendientes y pagadas, el leaderboard.</t>
  </si>
  <si>
    <t xml:space="preserve">  • Solo ves TUS propios prospectos y comisiones. Nunca datos de otros vendedores ni de pacientes.</t>
  </si>
  <si>
    <t>6. Pagos al vendedor</t>
  </si>
  <si>
    <t xml:space="preserve">  • Los pagos se realizan mensualmente a las comisiones en estado "Pagada" del mes.</t>
  </si>
  <si>
    <t xml:space="preserve">  • El admin revisa las comisiones pendientes al cierre del mes y las marca como pagadas al transferirte.</t>
  </si>
  <si>
    <t xml:space="preserve">  • Se descuentan automáticamente las comisiones en clawback del periodo.</t>
  </si>
  <si>
    <t>7. Terminación del acuerdo</t>
  </si>
  <si>
    <t xml:space="preserve">  • Cualquiera de las partes puede terminar el acuerdo con 15 días de aviso.</t>
  </si>
  <si>
    <t xml:space="preserve">  • Las comisiones ya ganadas (tier "first" y "second" marcadas como pagadas) se respetan.</t>
  </si>
  <si>
    <t xml:space="preserve">  • Las comisiones pendientes de venta previas al aviso se pagan conforme al flujo normal.</t>
  </si>
  <si>
    <t>Firma del vendedor: _____________________________     Fecha: _______________</t>
  </si>
  <si>
    <t>Firma DocFácil: _____________________________     Fecha: _______________</t>
  </si>
  <si>
    <t>CALCULADORA DE INGRESOS — Juega con los números</t>
  </si>
  <si>
    <t>CAMBIA ESTOS VALORES PARA VER TUS INGRESOS:</t>
  </si>
  <si>
    <t>Plan a vender</t>
  </si>
  <si>
    <t>Ventas por mes (esperadas)</t>
  </si>
  <si>
    <t>Retención (% que no cancelará &lt;90 días)</t>
  </si>
  <si>
    <t>Profesional</t>
  </si>
  <si>
    <t>Precio mensual</t>
  </si>
  <si>
    <t>Comisión total por venta (1.5×)</t>
  </si>
  <si>
    <t>Primera mitad (50%)</t>
  </si>
  <si>
    <t>Segunda mitad (50%)</t>
  </si>
  <si>
    <t>PROYECCIÓN DE INGRESOS</t>
  </si>
  <si>
    <t>Periodo</t>
  </si>
  <si>
    <t>Ventas</t>
  </si>
  <si>
    <t>Comisión bruta</t>
  </si>
  <si>
    <t>Efectiva (tras retención)</t>
  </si>
  <si>
    <t>Acumulado</t>
  </si>
  <si>
    <t>1 mes</t>
  </si>
  <si>
    <t>3 meses</t>
  </si>
  <si>
    <t>6 meses</t>
  </si>
  <si>
    <t>12 meses (1 año)</t>
  </si>
  <si>
    <t>24 meses (2 años)</t>
  </si>
  <si>
    <t>EJEMPLOS CONCRETOS</t>
  </si>
  <si>
    <t xml:space="preserve">  ✓  Si vendes 5 Básico al mes → 60 × $448.50 = $26,910/año</t>
  </si>
  <si>
    <t xml:space="preserve">  ✓  Si vendes 1 Pro al mes → 12 × $898.50 = $10,782/año</t>
  </si>
  <si>
    <t xml:space="preserve">  ✓  Si vendes 5 Pro al mes → 60 × $898.50 = $53,910/año</t>
  </si>
  <si>
    <t xml:space="preserve">  ✓  Si vendes 10 Pro al mes → 120 × $898.50 = $107,820/año</t>
  </si>
  <si>
    <t xml:space="preserve">  ✓  Si vendes 3 Pro + 1 Clínica al mes → (3×$898.50 + 1×$1,798.50) × 12 = $54,126/año</t>
  </si>
  <si>
    <t xml:space="preserve">  ✓  Si vendes 5 Clínica al mes → 60 × $1,798.50 = $107,910/año 🚀</t>
  </si>
  <si>
    <t xml:space="preserve">  ✓  Mix realista (5 Básico + 3 Pro + 1 Clínica/mes) → ($2,242.50 + $2,695.50 + $1,798.50) × 12 = $80,838/año</t>
  </si>
  <si>
    <t xml:space="preserve">  ✓  Nota: solo el plan Free ($0) NO paga comisión. Todos los planes de pago califican.</t>
  </si>
  <si>
    <t>TRACKING DE VENTAS Y COMISIONES — Captura tus ventas aquí</t>
  </si>
  <si>
    <t>Llena las columnas amarillas. El Excel calcula automáticamente las comisiones por cobrar, las pagadas y las totales.</t>
  </si>
  <si>
    <t xml:space="preserve"># </t>
  </si>
  <si>
    <t>Fecha venta</t>
  </si>
  <si>
    <t>Clínica / Doctor</t>
  </si>
  <si>
    <t>Plan</t>
  </si>
  <si>
    <t>Comisión total</t>
  </si>
  <si>
    <t>1er pago recibido</t>
  </si>
  <si>
    <t>2do pago recibido</t>
  </si>
  <si>
    <t>¿Cancelada?</t>
  </si>
  <si>
    <t>Días hasta cancelación</t>
  </si>
  <si>
    <t>Estado comisión</t>
  </si>
  <si>
    <t>RESUMEN</t>
  </si>
  <si>
    <t>Ventas capturadas:</t>
  </si>
  <si>
    <t>Comisión generada (sin clawback):</t>
  </si>
  <si>
    <t>Comisión pendiente de cobrar:</t>
  </si>
  <si>
    <t>Comisión en clawback (a descontar):</t>
  </si>
  <si>
    <t>TABLA DE PLANES — Usada por las fórmulas</t>
  </si>
  <si>
    <t>Comisión total (1.5×)</t>
  </si>
  <si>
    <t>Por mitad (50%)</t>
  </si>
  <si>
    <t>¿Califica?</t>
  </si>
  <si>
    <t>Free</t>
  </si>
  <si>
    <t>NO</t>
  </si>
  <si>
    <t>Básico</t>
  </si>
  <si>
    <t>SÍ</t>
  </si>
  <si>
    <t>Pro</t>
  </si>
  <si>
    <t>Clínica</t>
  </si>
  <si>
    <t>NOTA: Todos los planes de pago (Básico, Pro, Clínica) pagan comisión. Solo el plan Free NO paga.</t>
  </si>
  <si>
    <t>La comisión es 1.5× la mensualidad, dividida en 2 pagos (al 1er y al 2do pago del cliente).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</si>
</sst>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3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F6E56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E65100"/>
      <name val="Calibri"/>
    </font>
    <font>
      <b val="1"/>
      <i val="0"/>
      <strike val="0"/>
      <u val="none"/>
      <sz val="11"/>
      <color rgb="FFC6282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0000"/>
      </patternFill>
    </fill>
    <fill>
      <patternFill patternType="solid">
        <fgColor rgb="FFE1F5EE"/>
        <bgColor rgb="FF000000"/>
      </patternFill>
    </fill>
    <fill>
      <patternFill patternType="solid">
        <fgColor rgb="FFFFF59D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F5F5F5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0"/>
    <xf xfId="0" fontId="0" numFmtId="0" fillId="5" borderId="1" applyFont="0" applyNumberFormat="0" applyFill="1" applyBorder="1" applyAlignment="0"/>
    <xf xfId="0" fontId="0" numFmtId="0" fillId="5" borderId="2" applyFont="0" applyNumberFormat="0" applyFill="1" applyBorder="1" applyAlignment="0"/>
    <xf xfId="0" fontId="0" numFmtId="9" fillId="5" borderId="3" applyFont="0" applyNumberFormat="1" applyFill="1" applyBorder="1" applyAlignment="0"/>
    <xf xfId="0" fontId="1" numFmtId="0" fillId="6" borderId="0" applyFont="1" applyNumberFormat="0" applyFill="1" applyBorder="0" applyAlignment="0"/>
    <xf xfId="0" fontId="0" numFmtId="164" fillId="6" borderId="0" applyFont="0" applyNumberFormat="1" applyFill="1" applyBorder="0" applyAlignment="0"/>
    <xf xfId="0" fontId="1" numFmtId="164" fillId="6" borderId="0" applyFont="1" applyNumberFormat="1" applyFill="1" applyBorder="0" applyAlignment="0"/>
    <xf xfId="0" fontId="6" numFmtId="0" fillId="2" borderId="0" applyFont="1" applyNumberFormat="0" applyFill="1" applyBorder="0" applyAlignment="0"/>
    <xf xfId="0" fontId="0" numFmtId="0" fillId="0" borderId="4" applyFont="0" applyNumberFormat="0" applyFill="0" applyBorder="1" applyAlignment="0"/>
    <xf xfId="0" fontId="0" numFmtId="164" fillId="0" borderId="4" applyFont="0" applyNumberFormat="1" applyFill="0" applyBorder="1" applyAlignment="0"/>
    <xf xfId="0" fontId="7" numFmtId="164" fillId="0" borderId="4" applyFont="1" applyNumberFormat="1" applyFill="0" applyBorder="1" applyAlignment="0"/>
    <xf xfId="0" fontId="3" numFmtId="0" fillId="4" borderId="0" applyFont="1" applyNumberFormat="0" applyFill="1" applyBorder="0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4" applyFont="1" applyNumberFormat="0" applyFill="1" applyBorder="1" applyAlignment="1">
      <alignment horizontal="center" vertical="bottom" textRotation="0" wrapText="true" shrinkToFit="false"/>
    </xf>
    <xf xfId="0" fontId="0" numFmtId="165" fillId="5" borderId="4" applyFont="0" applyNumberFormat="1" applyFill="1" applyBorder="1" applyAlignment="0"/>
    <xf xfId="0" fontId="0" numFmtId="0" fillId="5" borderId="4" applyFont="0" applyNumberFormat="0" applyFill="1" applyBorder="1" applyAlignment="0"/>
    <xf xfId="0" fontId="8" numFmtId="0" fillId="3" borderId="0" applyFont="1" applyNumberFormat="0" applyFill="1" applyBorder="0" applyAlignment="0"/>
    <xf xfId="0" fontId="7" numFmtId="164" fillId="0" borderId="0" applyFont="1" applyNumberFormat="1" applyFill="0" applyBorder="0" applyAlignment="0"/>
    <xf xfId="0" fontId="9" numFmtId="164" fillId="0" borderId="0" applyFont="1" applyNumberFormat="1" applyFill="0" applyBorder="0" applyAlignment="0"/>
    <xf xfId="0" fontId="10" numFmtId="164" fillId="0" borderId="0" applyFont="1" applyNumberFormat="1" applyFill="0" applyBorder="0" applyAlignment="0"/>
    <xf xfId="0" fontId="1" numFmtId="0" fillId="3" borderId="4" applyFont="1" applyNumberFormat="0" applyFill="1" applyBorder="1" applyAlignment="0"/>
    <xf xfId="0" fontId="0" numFmtId="0" fillId="0" borderId="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3">
    <dxf>
      <font>
        <b val="1"/>
        <color rgb="FF0F6E56"/>
      </font>
      <border/>
    </dxf>
    <dxf>
      <font>
        <b val="1"/>
        <color rgb="FFC62828"/>
      </font>
      <border/>
    </dxf>
    <dxf>
      <font>
        <color rgb="FFE65100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4"/>
  <sheetViews>
    <sheetView tabSelected="1" workbookViewId="0" showGridLines="true" showRowColHeaders="1">
      <selection activeCell="B44" sqref="B44"/>
    </sheetView>
  </sheetViews>
  <sheetFormatPr defaultRowHeight="14.4" outlineLevelRow="0" outlineLevelCol="0"/>
  <cols>
    <col min="1" max="1" width="4" customWidth="true" style="0"/>
    <col min="2" max="2" width="100" customWidth="true" style="0"/>
  </cols>
  <sheetData>
    <row r="2" spans="1:2" customHeight="1" ht="40">
      <c r="B2" s="2" t="s">
        <v>0</v>
      </c>
    </row>
    <row r="4" spans="1:2" customHeight="1" ht="25">
      <c r="B4" s="3" t="s">
        <v>1</v>
      </c>
    </row>
    <row r="5" spans="1:2" customHeight="1" ht="22">
      <c r="B5" s="4" t="s">
        <v>2</v>
      </c>
    </row>
    <row r="6" spans="1:2" customHeight="1" ht="22">
      <c r="B6" s="4" t="s">
        <v>3</v>
      </c>
    </row>
    <row r="7" spans="1:2" customHeight="1" ht="22">
      <c r="B7" s="4" t="s">
        <v>4</v>
      </c>
    </row>
    <row r="9" spans="1:2" customHeight="1" ht="25">
      <c r="B9" s="3" t="s">
        <v>5</v>
      </c>
    </row>
    <row r="10" spans="1:2" customHeight="1" ht="22">
      <c r="B10" s="4" t="s">
        <v>6</v>
      </c>
    </row>
    <row r="11" spans="1:2" customHeight="1" ht="22">
      <c r="B11" s="4" t="s">
        <v>7</v>
      </c>
    </row>
    <row r="12" spans="1:2" customHeight="1" ht="22">
      <c r="B12" s="4" t="s">
        <v>8</v>
      </c>
    </row>
    <row r="13" spans="1:2" customHeight="1" ht="22">
      <c r="B13" s="4" t="s">
        <v>9</v>
      </c>
    </row>
    <row r="15" spans="1:2" customHeight="1" ht="25">
      <c r="B15" s="3" t="s">
        <v>10</v>
      </c>
    </row>
    <row r="16" spans="1:2" customHeight="1" ht="22">
      <c r="B16" s="4" t="s">
        <v>11</v>
      </c>
    </row>
    <row r="17" spans="1:2" customHeight="1" ht="22">
      <c r="B17" s="4" t="s">
        <v>12</v>
      </c>
    </row>
    <row r="18" spans="1:2" customHeight="1" ht="22">
      <c r="B18" s="4" t="s">
        <v>13</v>
      </c>
    </row>
    <row r="20" spans="1:2" customHeight="1" ht="25">
      <c r="B20" s="3" t="s">
        <v>14</v>
      </c>
    </row>
    <row r="21" spans="1:2" customHeight="1" ht="22">
      <c r="B21" s="4" t="s">
        <v>15</v>
      </c>
    </row>
    <row r="22" spans="1:2" customHeight="1" ht="22">
      <c r="B22" s="4" t="s">
        <v>16</v>
      </c>
    </row>
    <row r="23" spans="1:2" customHeight="1" ht="22">
      <c r="B23" s="4" t="s">
        <v>17</v>
      </c>
    </row>
    <row r="24" spans="1:2" customHeight="1" ht="22">
      <c r="B24" s="4" t="s">
        <v>18</v>
      </c>
    </row>
    <row r="26" spans="1:2" customHeight="1" ht="25">
      <c r="B26" s="3" t="s">
        <v>19</v>
      </c>
    </row>
    <row r="27" spans="1:2" customHeight="1" ht="22">
      <c r="B27" s="4" t="s">
        <v>20</v>
      </c>
    </row>
    <row r="28" spans="1:2" customHeight="1" ht="22">
      <c r="B28" s="4" t="s">
        <v>21</v>
      </c>
    </row>
    <row r="29" spans="1:2" customHeight="1" ht="22">
      <c r="B29" s="4" t="s">
        <v>22</v>
      </c>
    </row>
    <row r="31" spans="1:2" customHeight="1" ht="25">
      <c r="B31" s="3" t="s">
        <v>23</v>
      </c>
    </row>
    <row r="32" spans="1:2" customHeight="1" ht="22">
      <c r="B32" s="4" t="s">
        <v>24</v>
      </c>
    </row>
    <row r="33" spans="1:2" customHeight="1" ht="22">
      <c r="B33" s="4" t="s">
        <v>25</v>
      </c>
    </row>
    <row r="34" spans="1:2" customHeight="1" ht="22">
      <c r="B34" s="4" t="s">
        <v>26</v>
      </c>
    </row>
    <row r="36" spans="1:2" customHeight="1" ht="25">
      <c r="B36" s="3" t="s">
        <v>27</v>
      </c>
    </row>
    <row r="37" spans="1:2" customHeight="1" ht="22">
      <c r="B37" s="4" t="s">
        <v>28</v>
      </c>
    </row>
    <row r="38" spans="1:2" customHeight="1" ht="22">
      <c r="B38" s="4" t="s">
        <v>29</v>
      </c>
    </row>
    <row r="39" spans="1:2" customHeight="1" ht="22">
      <c r="B39" s="4" t="s">
        <v>30</v>
      </c>
    </row>
    <row r="42" spans="1:2">
      <c r="B42" s="5" t="s">
        <v>31</v>
      </c>
    </row>
    <row r="44" spans="1:2">
      <c r="B44" s="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A18" sqref="A18"/>
    </sheetView>
  </sheetViews>
  <sheetFormatPr defaultRowHeight="14.4" outlineLevelRow="0" outlineLevelCol="0"/>
  <cols>
    <col min="1" max="1" width="30" customWidth="true" style="0"/>
    <col min="2" max="2" width="15" customWidth="true" style="0"/>
    <col min="3" max="3" width="18" customWidth="true" style="0"/>
    <col min="4" max="4" width="26" customWidth="true" style="0"/>
    <col min="5" max="5" width="18" customWidth="true" style="0"/>
  </cols>
  <sheetData>
    <row r="1" spans="1:5" customHeight="1" ht="30">
      <c r="A1" s="6" t="s">
        <v>33</v>
      </c>
    </row>
    <row r="3" spans="1:5">
      <c r="A3" s="7" t="s">
        <v>34</v>
      </c>
    </row>
    <row r="4" spans="1:5">
      <c r="A4" s="1" t="s">
        <v>35</v>
      </c>
      <c r="B4" s="8" t="s">
        <v>38</v>
      </c>
      <c r="D4" s="11" t="s">
        <v>39</v>
      </c>
      <c r="E4" s="12">
        <f>IFERROR(VLOOKUP(B4,Planes!A4:B7,2,FALSE),0)</f>
        <v>0</v>
      </c>
    </row>
    <row r="5" spans="1:5">
      <c r="A5" s="1" t="s">
        <v>36</v>
      </c>
      <c r="B5" s="9">
        <v>10</v>
      </c>
      <c r="D5" s="11" t="s">
        <v>40</v>
      </c>
      <c r="E5" s="13">
        <f>IF(B4="Free",0,E4*1.5)</f>
        <v>0</v>
      </c>
    </row>
    <row r="6" spans="1:5">
      <c r="A6" s="1" t="s">
        <v>37</v>
      </c>
      <c r="B6" s="10">
        <v>0.9</v>
      </c>
      <c r="D6" s="11" t="s">
        <v>41</v>
      </c>
      <c r="E6" s="12">
        <f>E5/2</f>
        <v>0</v>
      </c>
    </row>
    <row r="7" spans="1:5">
      <c r="D7" s="11" t="s">
        <v>42</v>
      </c>
      <c r="E7" s="12">
        <f>E5/2</f>
        <v>0</v>
      </c>
    </row>
    <row r="9" spans="1:5" customHeight="1" ht="25">
      <c r="A9" s="3" t="s">
        <v>43</v>
      </c>
    </row>
    <row r="10" spans="1:5">
      <c r="A10" s="14" t="s">
        <v>44</v>
      </c>
      <c r="B10" s="14" t="s">
        <v>45</v>
      </c>
      <c r="C10" s="14" t="s">
        <v>46</v>
      </c>
      <c r="D10" s="14" t="s">
        <v>47</v>
      </c>
      <c r="E10" s="14" t="s">
        <v>48</v>
      </c>
    </row>
    <row r="11" spans="1:5">
      <c r="A11" s="15" t="s">
        <v>49</v>
      </c>
      <c r="B11" s="15">
        <f>$B$5*1</f>
        <v>10</v>
      </c>
      <c r="C11" s="16">
        <f>B11*$E$5</f>
        <v>0</v>
      </c>
      <c r="D11" s="17">
        <f>C11*$B$6</f>
        <v>0</v>
      </c>
      <c r="E11" s="16">
        <f>D11</f>
        <v>0</v>
      </c>
    </row>
    <row r="12" spans="1:5">
      <c r="A12" s="15" t="s">
        <v>50</v>
      </c>
      <c r="B12" s="15">
        <f>$B$5*3</f>
        <v>30</v>
      </c>
      <c r="C12" s="16">
        <f>B12*$E$5</f>
        <v>0</v>
      </c>
      <c r="D12" s="17">
        <f>C12*$B$6</f>
        <v>0</v>
      </c>
      <c r="E12" s="16">
        <f>D12</f>
        <v>0</v>
      </c>
    </row>
    <row r="13" spans="1:5">
      <c r="A13" s="15" t="s">
        <v>51</v>
      </c>
      <c r="B13" s="15">
        <f>$B$5*6</f>
        <v>60</v>
      </c>
      <c r="C13" s="16">
        <f>B13*$E$5</f>
        <v>0</v>
      </c>
      <c r="D13" s="17">
        <f>C13*$B$6</f>
        <v>0</v>
      </c>
      <c r="E13" s="16">
        <f>D13</f>
        <v>0</v>
      </c>
    </row>
    <row r="14" spans="1:5">
      <c r="A14" s="15" t="s">
        <v>52</v>
      </c>
      <c r="B14" s="15">
        <f>$B$5*12</f>
        <v>120</v>
      </c>
      <c r="C14" s="16">
        <f>B14*$E$5</f>
        <v>0</v>
      </c>
      <c r="D14" s="17">
        <f>C14*$B$6</f>
        <v>0</v>
      </c>
      <c r="E14" s="16">
        <f>D14</f>
        <v>0</v>
      </c>
    </row>
    <row r="15" spans="1:5">
      <c r="A15" s="15" t="s">
        <v>53</v>
      </c>
      <c r="B15" s="15">
        <f>$B$5*24</f>
        <v>240</v>
      </c>
      <c r="C15" s="16">
        <f>B15*$E$5</f>
        <v>0</v>
      </c>
      <c r="D15" s="17">
        <f>C15*$B$6</f>
        <v>0</v>
      </c>
      <c r="E15" s="16">
        <f>D15</f>
        <v>0</v>
      </c>
    </row>
    <row r="18" spans="1:5">
      <c r="A18" s="18" t="s">
        <v>54</v>
      </c>
    </row>
    <row r="20" spans="1:5" customHeight="1" ht="20">
      <c r="A20" t="s">
        <v>55</v>
      </c>
    </row>
    <row r="21" spans="1:5" customHeight="1" ht="20">
      <c r="A21" t="s">
        <v>56</v>
      </c>
    </row>
    <row r="22" spans="1:5" customHeight="1" ht="20">
      <c r="A22" t="s">
        <v>57</v>
      </c>
    </row>
    <row r="23" spans="1:5" customHeight="1" ht="20">
      <c r="A23" t="s">
        <v>58</v>
      </c>
    </row>
    <row r="24" spans="1:5" customHeight="1" ht="20">
      <c r="A24" t="s">
        <v>59</v>
      </c>
    </row>
    <row r="25" spans="1:5" customHeight="1" ht="20">
      <c r="A25" t="s">
        <v>60</v>
      </c>
    </row>
    <row r="26" spans="1:5" customHeight="1" ht="20">
      <c r="A26" t="s">
        <v>61</v>
      </c>
    </row>
    <row r="27" spans="1:5" customHeight="1" ht="20">
      <c r="A27" t="s">
        <v>62</v>
      </c>
    </row>
  </sheetData>
  <mergeCells>
    <mergeCell ref="A1:F1"/>
    <mergeCell ref="A3:F3"/>
    <mergeCell ref="A9:F9"/>
    <mergeCell ref="A18:F18"/>
    <mergeCell ref="A20:F20"/>
    <mergeCell ref="A21:F21"/>
    <mergeCell ref="A22:F22"/>
    <mergeCell ref="A23:F23"/>
    <mergeCell ref="A24:F24"/>
    <mergeCell ref="A25:F25"/>
    <mergeCell ref="A26:F26"/>
    <mergeCell ref="A27:F27"/>
  </mergeCells>
  <dataValidations count="1">
    <dataValidation type="list" errorStyle="information" operator="between" allowBlank="0" showDropDown="0" showInputMessage="1" showErrorMessage="1" sqref="B4">
      <formula1>"Básico,Pro,Clínica"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0"/>
  <sheetViews>
    <sheetView tabSelected="0" workbookViewId="0" showGridLines="true" showRowColHeaders="1">
      <selection activeCell="E40" sqref="E40"/>
    </sheetView>
  </sheetViews>
  <sheetFormatPr defaultRowHeight="14.4" outlineLevelRow="0" outlineLevelCol="0"/>
  <cols>
    <col min="1" max="1" width="5" customWidth="true" style="0"/>
    <col min="2" max="2" width="13" customWidth="true" style="0"/>
    <col min="3" max="3" width="28" customWidth="true" style="0"/>
    <col min="4" max="4" width="14" customWidth="true" style="0"/>
    <col min="5" max="5" width="16" customWidth="true" style="0"/>
    <col min="6" max="6" width="17" customWidth="true" style="0"/>
    <col min="7" max="7" width="17" customWidth="true" style="0"/>
    <col min="8" max="8" width="14" customWidth="true" style="0"/>
    <col min="9" max="9" width="12" customWidth="true" style="0"/>
    <col min="10" max="10" width="20" customWidth="true" style="0"/>
  </cols>
  <sheetData>
    <row r="1" spans="1:10" customHeight="1" ht="30">
      <c r="A1" s="6" t="s">
        <v>63</v>
      </c>
    </row>
    <row r="2" spans="1:10">
      <c r="A2" s="19" t="s">
        <v>64</v>
      </c>
    </row>
    <row r="4" spans="1:10" customHeight="1" ht="30">
      <c r="A4" s="20" t="s">
        <v>65</v>
      </c>
      <c r="B4" s="20" t="s">
        <v>66</v>
      </c>
      <c r="C4" s="20" t="s">
        <v>67</v>
      </c>
      <c r="D4" s="20" t="s">
        <v>68</v>
      </c>
      <c r="E4" s="20" t="s">
        <v>69</v>
      </c>
      <c r="F4" s="20" t="s">
        <v>70</v>
      </c>
      <c r="G4" s="20" t="s">
        <v>71</v>
      </c>
      <c r="H4" s="20" t="s">
        <v>72</v>
      </c>
      <c r="I4" s="20" t="s">
        <v>73</v>
      </c>
      <c r="J4" s="20" t="s">
        <v>74</v>
      </c>
    </row>
    <row r="5" spans="1:10">
      <c r="A5" s="15">
        <v>1</v>
      </c>
      <c r="B5" s="21"/>
      <c r="C5" s="22"/>
      <c r="D5" s="22"/>
      <c r="E5" s="16">
        <f>IFERROR(IF(OR(D5="Básico",D5=""),0,VLOOKUP(D5,Planes!A4:C6,3,FALSE)),0)</f>
        <v>0</v>
      </c>
      <c r="F5" s="21"/>
      <c r="G5" s="21"/>
      <c r="H5" s="21"/>
      <c r="I5" s="15" t="str">
        <f>IF(AND(H5&lt;&gt;"",B5&lt;&gt;""),H5-B5,"")</f>
        <v/>
      </c>
      <c r="J5" s="15" t="str">
        <f>IF(C5="","",IF(D5="Básico","No califica",IF(AND(H5&lt;&gt;"",I5&lt;90),"CLAWBACK",IF(AND(F5&lt;&gt;"",G5&lt;&gt;""),"Completa (100%)",IF(F5&lt;&gt;"","1ra mitad (50%)","Pendiente")))))</f>
        <v/>
      </c>
    </row>
    <row r="6" spans="1:10">
      <c r="A6" s="15">
        <v>2</v>
      </c>
      <c r="B6" s="21"/>
      <c r="C6" s="22"/>
      <c r="D6" s="22"/>
      <c r="E6" s="16">
        <f>IFERROR(IF(OR(D6="Básico",D6=""),0,VLOOKUP(D6,Planes!A4:C6,3,FALSE)),0)</f>
        <v>0</v>
      </c>
      <c r="F6" s="21"/>
      <c r="G6" s="21"/>
      <c r="H6" s="21"/>
      <c r="I6" s="15" t="str">
        <f>IF(AND(H6&lt;&gt;"",B6&lt;&gt;""),H6-B6,"")</f>
        <v/>
      </c>
      <c r="J6" s="15" t="str">
        <f>IF(C6="","",IF(D6="Básico","No califica",IF(AND(H6&lt;&gt;"",I6&lt;90),"CLAWBACK",IF(AND(F6&lt;&gt;"",G6&lt;&gt;""),"Completa (100%)",IF(F6&lt;&gt;"","1ra mitad (50%)","Pendiente")))))</f>
        <v/>
      </c>
    </row>
    <row r="7" spans="1:10">
      <c r="A7" s="15">
        <v>3</v>
      </c>
      <c r="B7" s="21"/>
      <c r="C7" s="22"/>
      <c r="D7" s="22"/>
      <c r="E7" s="16">
        <f>IFERROR(IF(OR(D7="Básico",D7=""),0,VLOOKUP(D7,Planes!A4:C6,3,FALSE)),0)</f>
        <v>0</v>
      </c>
      <c r="F7" s="21"/>
      <c r="G7" s="21"/>
      <c r="H7" s="21"/>
      <c r="I7" s="15" t="str">
        <f>IF(AND(H7&lt;&gt;"",B7&lt;&gt;""),H7-B7,"")</f>
        <v/>
      </c>
      <c r="J7" s="15" t="str">
        <f>IF(C7="","",IF(D7="Básico","No califica",IF(AND(H7&lt;&gt;"",I7&lt;90),"CLAWBACK",IF(AND(F7&lt;&gt;"",G7&lt;&gt;""),"Completa (100%)",IF(F7&lt;&gt;"","1ra mitad (50%)","Pendiente")))))</f>
        <v/>
      </c>
    </row>
    <row r="8" spans="1:10">
      <c r="A8" s="15">
        <v>4</v>
      </c>
      <c r="B8" s="21"/>
      <c r="C8" s="22"/>
      <c r="D8" s="22"/>
      <c r="E8" s="16">
        <f>IFERROR(IF(OR(D8="Básico",D8=""),0,VLOOKUP(D8,Planes!A4:C6,3,FALSE)),0)</f>
        <v>0</v>
      </c>
      <c r="F8" s="21"/>
      <c r="G8" s="21"/>
      <c r="H8" s="21"/>
      <c r="I8" s="15" t="str">
        <f>IF(AND(H8&lt;&gt;"",B8&lt;&gt;""),H8-B8,"")</f>
        <v/>
      </c>
      <c r="J8" s="15" t="str">
        <f>IF(C8="","",IF(D8="Básico","No califica",IF(AND(H8&lt;&gt;"",I8&lt;90),"CLAWBACK",IF(AND(F8&lt;&gt;"",G8&lt;&gt;""),"Completa (100%)",IF(F8&lt;&gt;"","1ra mitad (50%)","Pendiente")))))</f>
        <v/>
      </c>
    </row>
    <row r="9" spans="1:10">
      <c r="A9" s="15">
        <v>5</v>
      </c>
      <c r="B9" s="21"/>
      <c r="C9" s="22"/>
      <c r="D9" s="22"/>
      <c r="E9" s="16">
        <f>IFERROR(IF(OR(D9="Básico",D9=""),0,VLOOKUP(D9,Planes!A4:C6,3,FALSE)),0)</f>
        <v>0</v>
      </c>
      <c r="F9" s="21"/>
      <c r="G9" s="21"/>
      <c r="H9" s="21"/>
      <c r="I9" s="15" t="str">
        <f>IF(AND(H9&lt;&gt;"",B9&lt;&gt;""),H9-B9,"")</f>
        <v/>
      </c>
      <c r="J9" s="15" t="str">
        <f>IF(C9="","",IF(D9="Básico","No califica",IF(AND(H9&lt;&gt;"",I9&lt;90),"CLAWBACK",IF(AND(F9&lt;&gt;"",G9&lt;&gt;""),"Completa (100%)",IF(F9&lt;&gt;"","1ra mitad (50%)","Pendiente")))))</f>
        <v/>
      </c>
    </row>
    <row r="10" spans="1:10">
      <c r="A10" s="15">
        <v>6</v>
      </c>
      <c r="B10" s="21"/>
      <c r="C10" s="22"/>
      <c r="D10" s="22"/>
      <c r="E10" s="16">
        <f>IFERROR(IF(OR(D10="Básico",D10=""),0,VLOOKUP(D10,Planes!A4:C6,3,FALSE)),0)</f>
        <v>0</v>
      </c>
      <c r="F10" s="21"/>
      <c r="G10" s="21"/>
      <c r="H10" s="21"/>
      <c r="I10" s="15" t="str">
        <f>IF(AND(H10&lt;&gt;"",B10&lt;&gt;""),H10-B10,"")</f>
        <v/>
      </c>
      <c r="J10" s="15" t="str">
        <f>IF(C10="","",IF(D10="Básico","No califica",IF(AND(H10&lt;&gt;"",I10&lt;90),"CLAWBACK",IF(AND(F10&lt;&gt;"",G10&lt;&gt;""),"Completa (100%)",IF(F10&lt;&gt;"","1ra mitad (50%)","Pendiente")))))</f>
        <v/>
      </c>
    </row>
    <row r="11" spans="1:10">
      <c r="A11" s="15">
        <v>7</v>
      </c>
      <c r="B11" s="21"/>
      <c r="C11" s="22"/>
      <c r="D11" s="22"/>
      <c r="E11" s="16">
        <f>IFERROR(IF(OR(D11="Básico",D11=""),0,VLOOKUP(D11,Planes!A4:C6,3,FALSE)),0)</f>
        <v>0</v>
      </c>
      <c r="F11" s="21"/>
      <c r="G11" s="21"/>
      <c r="H11" s="21"/>
      <c r="I11" s="15" t="str">
        <f>IF(AND(H11&lt;&gt;"",B11&lt;&gt;""),H11-B11,"")</f>
        <v/>
      </c>
      <c r="J11" s="15" t="str">
        <f>IF(C11="","",IF(D11="Básico","No califica",IF(AND(H11&lt;&gt;"",I11&lt;90),"CLAWBACK",IF(AND(F11&lt;&gt;"",G11&lt;&gt;""),"Completa (100%)",IF(F11&lt;&gt;"","1ra mitad (50%)","Pendiente")))))</f>
        <v/>
      </c>
    </row>
    <row r="12" spans="1:10">
      <c r="A12" s="15">
        <v>8</v>
      </c>
      <c r="B12" s="21"/>
      <c r="C12" s="22"/>
      <c r="D12" s="22"/>
      <c r="E12" s="16">
        <f>IFERROR(IF(OR(D12="Básico",D12=""),0,VLOOKUP(D12,Planes!A4:C6,3,FALSE)),0)</f>
        <v>0</v>
      </c>
      <c r="F12" s="21"/>
      <c r="G12" s="21"/>
      <c r="H12" s="21"/>
      <c r="I12" s="15" t="str">
        <f>IF(AND(H12&lt;&gt;"",B12&lt;&gt;""),H12-B12,"")</f>
        <v/>
      </c>
      <c r="J12" s="15" t="str">
        <f>IF(C12="","",IF(D12="Básico","No califica",IF(AND(H12&lt;&gt;"",I12&lt;90),"CLAWBACK",IF(AND(F12&lt;&gt;"",G12&lt;&gt;""),"Completa (100%)",IF(F12&lt;&gt;"","1ra mitad (50%)","Pendiente")))))</f>
        <v/>
      </c>
    </row>
    <row r="13" spans="1:10">
      <c r="A13" s="15">
        <v>9</v>
      </c>
      <c r="B13" s="21"/>
      <c r="C13" s="22"/>
      <c r="D13" s="22"/>
      <c r="E13" s="16">
        <f>IFERROR(IF(OR(D13="Básico",D13=""),0,VLOOKUP(D13,Planes!A4:C6,3,FALSE)),0)</f>
        <v>0</v>
      </c>
      <c r="F13" s="21"/>
      <c r="G13" s="21"/>
      <c r="H13" s="21"/>
      <c r="I13" s="15" t="str">
        <f>IF(AND(H13&lt;&gt;"",B13&lt;&gt;""),H13-B13,"")</f>
        <v/>
      </c>
      <c r="J13" s="15" t="str">
        <f>IF(C13="","",IF(D13="Básico","No califica",IF(AND(H13&lt;&gt;"",I13&lt;90),"CLAWBACK",IF(AND(F13&lt;&gt;"",G13&lt;&gt;""),"Completa (100%)",IF(F13&lt;&gt;"","1ra mitad (50%)","Pendiente")))))</f>
        <v/>
      </c>
    </row>
    <row r="14" spans="1:10">
      <c r="A14" s="15">
        <v>10</v>
      </c>
      <c r="B14" s="21"/>
      <c r="C14" s="22"/>
      <c r="D14" s="22"/>
      <c r="E14" s="16">
        <f>IFERROR(IF(OR(D14="Básico",D14=""),0,VLOOKUP(D14,Planes!A4:C6,3,FALSE)),0)</f>
        <v>0</v>
      </c>
      <c r="F14" s="21"/>
      <c r="G14" s="21"/>
      <c r="H14" s="21"/>
      <c r="I14" s="15" t="str">
        <f>IF(AND(H14&lt;&gt;"",B14&lt;&gt;""),H14-B14,"")</f>
        <v/>
      </c>
      <c r="J14" s="15" t="str">
        <f>IF(C14="","",IF(D14="Básico","No califica",IF(AND(H14&lt;&gt;"",I14&lt;90),"CLAWBACK",IF(AND(F14&lt;&gt;"",G14&lt;&gt;""),"Completa (100%)",IF(F14&lt;&gt;"","1ra mitad (50%)","Pendiente")))))</f>
        <v/>
      </c>
    </row>
    <row r="15" spans="1:10">
      <c r="A15" s="15">
        <v>11</v>
      </c>
      <c r="B15" s="21"/>
      <c r="C15" s="22"/>
      <c r="D15" s="22"/>
      <c r="E15" s="16">
        <f>IFERROR(IF(OR(D15="Básico",D15=""),0,VLOOKUP(D15,Planes!A4:C6,3,FALSE)),0)</f>
        <v>0</v>
      </c>
      <c r="F15" s="21"/>
      <c r="G15" s="21"/>
      <c r="H15" s="21"/>
      <c r="I15" s="15" t="str">
        <f>IF(AND(H15&lt;&gt;"",B15&lt;&gt;""),H15-B15,"")</f>
        <v/>
      </c>
      <c r="J15" s="15" t="str">
        <f>IF(C15="","",IF(D15="Básico","No califica",IF(AND(H15&lt;&gt;"",I15&lt;90),"CLAWBACK",IF(AND(F15&lt;&gt;"",G15&lt;&gt;""),"Completa (100%)",IF(F15&lt;&gt;"","1ra mitad (50%)","Pendiente")))))</f>
        <v/>
      </c>
    </row>
    <row r="16" spans="1:10">
      <c r="A16" s="15">
        <v>12</v>
      </c>
      <c r="B16" s="21"/>
      <c r="C16" s="22"/>
      <c r="D16" s="22"/>
      <c r="E16" s="16">
        <f>IFERROR(IF(OR(D16="Básico",D16=""),0,VLOOKUP(D16,Planes!A4:C6,3,FALSE)),0)</f>
        <v>0</v>
      </c>
      <c r="F16" s="21"/>
      <c r="G16" s="21"/>
      <c r="H16" s="21"/>
      <c r="I16" s="15" t="str">
        <f>IF(AND(H16&lt;&gt;"",B16&lt;&gt;""),H16-B16,"")</f>
        <v/>
      </c>
      <c r="J16" s="15" t="str">
        <f>IF(C16="","",IF(D16="Básico","No califica",IF(AND(H16&lt;&gt;"",I16&lt;90),"CLAWBACK",IF(AND(F16&lt;&gt;"",G16&lt;&gt;""),"Completa (100%)",IF(F16&lt;&gt;"","1ra mitad (50%)","Pendiente")))))</f>
        <v/>
      </c>
    </row>
    <row r="17" spans="1:10">
      <c r="A17" s="15">
        <v>13</v>
      </c>
      <c r="B17" s="21"/>
      <c r="C17" s="22"/>
      <c r="D17" s="22"/>
      <c r="E17" s="16">
        <f>IFERROR(IF(OR(D17="Básico",D17=""),0,VLOOKUP(D17,Planes!A4:C6,3,FALSE)),0)</f>
        <v>0</v>
      </c>
      <c r="F17" s="21"/>
      <c r="G17" s="21"/>
      <c r="H17" s="21"/>
      <c r="I17" s="15" t="str">
        <f>IF(AND(H17&lt;&gt;"",B17&lt;&gt;""),H17-B17,"")</f>
        <v/>
      </c>
      <c r="J17" s="15" t="str">
        <f>IF(C17="","",IF(D17="Básico","No califica",IF(AND(H17&lt;&gt;"",I17&lt;90),"CLAWBACK",IF(AND(F17&lt;&gt;"",G17&lt;&gt;""),"Completa (100%)",IF(F17&lt;&gt;"","1ra mitad (50%)","Pendiente")))))</f>
        <v/>
      </c>
    </row>
    <row r="18" spans="1:10">
      <c r="A18" s="15">
        <v>14</v>
      </c>
      <c r="B18" s="21"/>
      <c r="C18" s="22"/>
      <c r="D18" s="22"/>
      <c r="E18" s="16">
        <f>IFERROR(IF(OR(D18="Básico",D18=""),0,VLOOKUP(D18,Planes!A4:C6,3,FALSE)),0)</f>
        <v>0</v>
      </c>
      <c r="F18" s="21"/>
      <c r="G18" s="21"/>
      <c r="H18" s="21"/>
      <c r="I18" s="15" t="str">
        <f>IF(AND(H18&lt;&gt;"",B18&lt;&gt;""),H18-B18,"")</f>
        <v/>
      </c>
      <c r="J18" s="15" t="str">
        <f>IF(C18="","",IF(D18="Básico","No califica",IF(AND(H18&lt;&gt;"",I18&lt;90),"CLAWBACK",IF(AND(F18&lt;&gt;"",G18&lt;&gt;""),"Completa (100%)",IF(F18&lt;&gt;"","1ra mitad (50%)","Pendiente")))))</f>
        <v/>
      </c>
    </row>
    <row r="19" spans="1:10">
      <c r="A19" s="15">
        <v>15</v>
      </c>
      <c r="B19" s="21"/>
      <c r="C19" s="22"/>
      <c r="D19" s="22"/>
      <c r="E19" s="16">
        <f>IFERROR(IF(OR(D19="Básico",D19=""),0,VLOOKUP(D19,Planes!A4:C6,3,FALSE)),0)</f>
        <v>0</v>
      </c>
      <c r="F19" s="21"/>
      <c r="G19" s="21"/>
      <c r="H19" s="21"/>
      <c r="I19" s="15" t="str">
        <f>IF(AND(H19&lt;&gt;"",B19&lt;&gt;""),H19-B19,"")</f>
        <v/>
      </c>
      <c r="J19" s="15" t="str">
        <f>IF(C19="","",IF(D19="Básico","No califica",IF(AND(H19&lt;&gt;"",I19&lt;90),"CLAWBACK",IF(AND(F19&lt;&gt;"",G19&lt;&gt;""),"Completa (100%)",IF(F19&lt;&gt;"","1ra mitad (50%)","Pendiente")))))</f>
        <v/>
      </c>
    </row>
    <row r="20" spans="1:10">
      <c r="A20" s="15">
        <v>16</v>
      </c>
      <c r="B20" s="21"/>
      <c r="C20" s="22"/>
      <c r="D20" s="22"/>
      <c r="E20" s="16">
        <f>IFERROR(IF(OR(D20="Básico",D20=""),0,VLOOKUP(D20,Planes!A4:C6,3,FALSE)),0)</f>
        <v>0</v>
      </c>
      <c r="F20" s="21"/>
      <c r="G20" s="21"/>
      <c r="H20" s="21"/>
      <c r="I20" s="15" t="str">
        <f>IF(AND(H20&lt;&gt;"",B20&lt;&gt;""),H20-B20,"")</f>
        <v/>
      </c>
      <c r="J20" s="15" t="str">
        <f>IF(C20="","",IF(D20="Básico","No califica",IF(AND(H20&lt;&gt;"",I20&lt;90),"CLAWBACK",IF(AND(F20&lt;&gt;"",G20&lt;&gt;""),"Completa (100%)",IF(F20&lt;&gt;"","1ra mitad (50%)","Pendiente")))))</f>
        <v/>
      </c>
    </row>
    <row r="21" spans="1:10">
      <c r="A21" s="15">
        <v>17</v>
      </c>
      <c r="B21" s="21"/>
      <c r="C21" s="22"/>
      <c r="D21" s="22"/>
      <c r="E21" s="16">
        <f>IFERROR(IF(OR(D21="Básico",D21=""),0,VLOOKUP(D21,Planes!A4:C6,3,FALSE)),0)</f>
        <v>0</v>
      </c>
      <c r="F21" s="21"/>
      <c r="G21" s="21"/>
      <c r="H21" s="21"/>
      <c r="I21" s="15" t="str">
        <f>IF(AND(H21&lt;&gt;"",B21&lt;&gt;""),H21-B21,"")</f>
        <v/>
      </c>
      <c r="J21" s="15" t="str">
        <f>IF(C21="","",IF(D21="Básico","No califica",IF(AND(H21&lt;&gt;"",I21&lt;90),"CLAWBACK",IF(AND(F21&lt;&gt;"",G21&lt;&gt;""),"Completa (100%)",IF(F21&lt;&gt;"","1ra mitad (50%)","Pendiente")))))</f>
        <v/>
      </c>
    </row>
    <row r="22" spans="1:10">
      <c r="A22" s="15">
        <v>18</v>
      </c>
      <c r="B22" s="21"/>
      <c r="C22" s="22"/>
      <c r="D22" s="22"/>
      <c r="E22" s="16">
        <f>IFERROR(IF(OR(D22="Básico",D22=""),0,VLOOKUP(D22,Planes!A4:C6,3,FALSE)),0)</f>
        <v>0</v>
      </c>
      <c r="F22" s="21"/>
      <c r="G22" s="21"/>
      <c r="H22" s="21"/>
      <c r="I22" s="15" t="str">
        <f>IF(AND(H22&lt;&gt;"",B22&lt;&gt;""),H22-B22,"")</f>
        <v/>
      </c>
      <c r="J22" s="15" t="str">
        <f>IF(C22="","",IF(D22="Básico","No califica",IF(AND(H22&lt;&gt;"",I22&lt;90),"CLAWBACK",IF(AND(F22&lt;&gt;"",G22&lt;&gt;""),"Completa (100%)",IF(F22&lt;&gt;"","1ra mitad (50%)","Pendiente")))))</f>
        <v/>
      </c>
    </row>
    <row r="23" spans="1:10">
      <c r="A23" s="15">
        <v>19</v>
      </c>
      <c r="B23" s="21"/>
      <c r="C23" s="22"/>
      <c r="D23" s="22"/>
      <c r="E23" s="16">
        <f>IFERROR(IF(OR(D23="Básico",D23=""),0,VLOOKUP(D23,Planes!A4:C6,3,FALSE)),0)</f>
        <v>0</v>
      </c>
      <c r="F23" s="21"/>
      <c r="G23" s="21"/>
      <c r="H23" s="21"/>
      <c r="I23" s="15" t="str">
        <f>IF(AND(H23&lt;&gt;"",B23&lt;&gt;""),H23-B23,"")</f>
        <v/>
      </c>
      <c r="J23" s="15" t="str">
        <f>IF(C23="","",IF(D23="Básico","No califica",IF(AND(H23&lt;&gt;"",I23&lt;90),"CLAWBACK",IF(AND(F23&lt;&gt;"",G23&lt;&gt;""),"Completa (100%)",IF(F23&lt;&gt;"","1ra mitad (50%)","Pendiente")))))</f>
        <v/>
      </c>
    </row>
    <row r="24" spans="1:10">
      <c r="A24" s="15">
        <v>20</v>
      </c>
      <c r="B24" s="21"/>
      <c r="C24" s="22"/>
      <c r="D24" s="22"/>
      <c r="E24" s="16">
        <f>IFERROR(IF(OR(D24="Básico",D24=""),0,VLOOKUP(D24,Planes!A4:C6,3,FALSE)),0)</f>
        <v>0</v>
      </c>
      <c r="F24" s="21"/>
      <c r="G24" s="21"/>
      <c r="H24" s="21"/>
      <c r="I24" s="15" t="str">
        <f>IF(AND(H24&lt;&gt;"",B24&lt;&gt;""),H24-B24,"")</f>
        <v/>
      </c>
      <c r="J24" s="15" t="str">
        <f>IF(C24="","",IF(D24="Básico","No califica",IF(AND(H24&lt;&gt;"",I24&lt;90),"CLAWBACK",IF(AND(F24&lt;&gt;"",G24&lt;&gt;""),"Completa (100%)",IF(F24&lt;&gt;"","1ra mitad (50%)","Pendiente")))))</f>
        <v/>
      </c>
    </row>
    <row r="25" spans="1:10">
      <c r="A25" s="15">
        <v>21</v>
      </c>
      <c r="B25" s="21"/>
      <c r="C25" s="22"/>
      <c r="D25" s="22"/>
      <c r="E25" s="16">
        <f>IFERROR(IF(OR(D25="Básico",D25=""),0,VLOOKUP(D25,Planes!A4:C6,3,FALSE)),0)</f>
        <v>0</v>
      </c>
      <c r="F25" s="21"/>
      <c r="G25" s="21"/>
      <c r="H25" s="21"/>
      <c r="I25" s="15" t="str">
        <f>IF(AND(H25&lt;&gt;"",B25&lt;&gt;""),H25-B25,"")</f>
        <v/>
      </c>
      <c r="J25" s="15" t="str">
        <f>IF(C25="","",IF(D25="Básico","No califica",IF(AND(H25&lt;&gt;"",I25&lt;90),"CLAWBACK",IF(AND(F25&lt;&gt;"",G25&lt;&gt;""),"Completa (100%)",IF(F25&lt;&gt;"","1ra mitad (50%)","Pendiente")))))</f>
        <v/>
      </c>
    </row>
    <row r="26" spans="1:10">
      <c r="A26" s="15">
        <v>22</v>
      </c>
      <c r="B26" s="21"/>
      <c r="C26" s="22"/>
      <c r="D26" s="22"/>
      <c r="E26" s="16">
        <f>IFERROR(IF(OR(D26="Básico",D26=""),0,VLOOKUP(D26,Planes!A4:C6,3,FALSE)),0)</f>
        <v>0</v>
      </c>
      <c r="F26" s="21"/>
      <c r="G26" s="21"/>
      <c r="H26" s="21"/>
      <c r="I26" s="15" t="str">
        <f>IF(AND(H26&lt;&gt;"",B26&lt;&gt;""),H26-B26,"")</f>
        <v/>
      </c>
      <c r="J26" s="15" t="str">
        <f>IF(C26="","",IF(D26="Básico","No califica",IF(AND(H26&lt;&gt;"",I26&lt;90),"CLAWBACK",IF(AND(F26&lt;&gt;"",G26&lt;&gt;""),"Completa (100%)",IF(F26&lt;&gt;"","1ra mitad (50%)","Pendiente")))))</f>
        <v/>
      </c>
    </row>
    <row r="27" spans="1:10">
      <c r="A27" s="15">
        <v>23</v>
      </c>
      <c r="B27" s="21"/>
      <c r="C27" s="22"/>
      <c r="D27" s="22"/>
      <c r="E27" s="16">
        <f>IFERROR(IF(OR(D27="Básico",D27=""),0,VLOOKUP(D27,Planes!A4:C6,3,FALSE)),0)</f>
        <v>0</v>
      </c>
      <c r="F27" s="21"/>
      <c r="G27" s="21"/>
      <c r="H27" s="21"/>
      <c r="I27" s="15" t="str">
        <f>IF(AND(H27&lt;&gt;"",B27&lt;&gt;""),H27-B27,"")</f>
        <v/>
      </c>
      <c r="J27" s="15" t="str">
        <f>IF(C27="","",IF(D27="Básico","No califica",IF(AND(H27&lt;&gt;"",I27&lt;90),"CLAWBACK",IF(AND(F27&lt;&gt;"",G27&lt;&gt;""),"Completa (100%)",IF(F27&lt;&gt;"","1ra mitad (50%)","Pendiente")))))</f>
        <v/>
      </c>
    </row>
    <row r="28" spans="1:10">
      <c r="A28" s="15">
        <v>24</v>
      </c>
      <c r="B28" s="21"/>
      <c r="C28" s="22"/>
      <c r="D28" s="22"/>
      <c r="E28" s="16">
        <f>IFERROR(IF(OR(D28="Básico",D28=""),0,VLOOKUP(D28,Planes!A4:C6,3,FALSE)),0)</f>
        <v>0</v>
      </c>
      <c r="F28" s="21"/>
      <c r="G28" s="21"/>
      <c r="H28" s="21"/>
      <c r="I28" s="15" t="str">
        <f>IF(AND(H28&lt;&gt;"",B28&lt;&gt;""),H28-B28,"")</f>
        <v/>
      </c>
      <c r="J28" s="15" t="str">
        <f>IF(C28="","",IF(D28="Básico","No califica",IF(AND(H28&lt;&gt;"",I28&lt;90),"CLAWBACK",IF(AND(F28&lt;&gt;"",G28&lt;&gt;""),"Completa (100%)",IF(F28&lt;&gt;"","1ra mitad (50%)","Pendiente")))))</f>
        <v/>
      </c>
    </row>
    <row r="29" spans="1:10">
      <c r="A29" s="15">
        <v>25</v>
      </c>
      <c r="B29" s="21"/>
      <c r="C29" s="22"/>
      <c r="D29" s="22"/>
      <c r="E29" s="16">
        <f>IFERROR(IF(OR(D29="Básico",D29=""),0,VLOOKUP(D29,Planes!A4:C6,3,FALSE)),0)</f>
        <v>0</v>
      </c>
      <c r="F29" s="21"/>
      <c r="G29" s="21"/>
      <c r="H29" s="21"/>
      <c r="I29" s="15" t="str">
        <f>IF(AND(H29&lt;&gt;"",B29&lt;&gt;""),H29-B29,"")</f>
        <v/>
      </c>
      <c r="J29" s="15" t="str">
        <f>IF(C29="","",IF(D29="Básico","No califica",IF(AND(H29&lt;&gt;"",I29&lt;90),"CLAWBACK",IF(AND(F29&lt;&gt;"",G29&lt;&gt;""),"Completa (100%)",IF(F29&lt;&gt;"","1ra mitad (50%)","Pendiente")))))</f>
        <v/>
      </c>
    </row>
    <row r="30" spans="1:10">
      <c r="A30" s="15">
        <v>26</v>
      </c>
      <c r="B30" s="21"/>
      <c r="C30" s="22"/>
      <c r="D30" s="22"/>
      <c r="E30" s="16">
        <f>IFERROR(IF(OR(D30="Básico",D30=""),0,VLOOKUP(D30,Planes!A4:C6,3,FALSE)),0)</f>
        <v>0</v>
      </c>
      <c r="F30" s="21"/>
      <c r="G30" s="21"/>
      <c r="H30" s="21"/>
      <c r="I30" s="15" t="str">
        <f>IF(AND(H30&lt;&gt;"",B30&lt;&gt;""),H30-B30,"")</f>
        <v/>
      </c>
      <c r="J30" s="15" t="str">
        <f>IF(C30="","",IF(D30="Básico","No califica",IF(AND(H30&lt;&gt;"",I30&lt;90),"CLAWBACK",IF(AND(F30&lt;&gt;"",G30&lt;&gt;""),"Completa (100%)",IF(F30&lt;&gt;"","1ra mitad (50%)","Pendiente")))))</f>
        <v/>
      </c>
    </row>
    <row r="31" spans="1:10">
      <c r="A31" s="15">
        <v>27</v>
      </c>
      <c r="B31" s="21"/>
      <c r="C31" s="22"/>
      <c r="D31" s="22"/>
      <c r="E31" s="16">
        <f>IFERROR(IF(OR(D31="Básico",D31=""),0,VLOOKUP(D31,Planes!A4:C6,3,FALSE)),0)</f>
        <v>0</v>
      </c>
      <c r="F31" s="21"/>
      <c r="G31" s="21"/>
      <c r="H31" s="21"/>
      <c r="I31" s="15" t="str">
        <f>IF(AND(H31&lt;&gt;"",B31&lt;&gt;""),H31-B31,"")</f>
        <v/>
      </c>
      <c r="J31" s="15" t="str">
        <f>IF(C31="","",IF(D31="Básico","No califica",IF(AND(H31&lt;&gt;"",I31&lt;90),"CLAWBACK",IF(AND(F31&lt;&gt;"",G31&lt;&gt;""),"Completa (100%)",IF(F31&lt;&gt;"","1ra mitad (50%)","Pendiente")))))</f>
        <v/>
      </c>
    </row>
    <row r="32" spans="1:10">
      <c r="A32" s="15">
        <v>28</v>
      </c>
      <c r="B32" s="21"/>
      <c r="C32" s="22"/>
      <c r="D32" s="22"/>
      <c r="E32" s="16">
        <f>IFERROR(IF(OR(D32="Básico",D32=""),0,VLOOKUP(D32,Planes!A4:C6,3,FALSE)),0)</f>
        <v>0</v>
      </c>
      <c r="F32" s="21"/>
      <c r="G32" s="21"/>
      <c r="H32" s="21"/>
      <c r="I32" s="15" t="str">
        <f>IF(AND(H32&lt;&gt;"",B32&lt;&gt;""),H32-B32,"")</f>
        <v/>
      </c>
      <c r="J32" s="15" t="str">
        <f>IF(C32="","",IF(D32="Básico","No califica",IF(AND(H32&lt;&gt;"",I32&lt;90),"CLAWBACK",IF(AND(F32&lt;&gt;"",G32&lt;&gt;""),"Completa (100%)",IF(F32&lt;&gt;"","1ra mitad (50%)","Pendiente")))))</f>
        <v/>
      </c>
    </row>
    <row r="33" spans="1:10">
      <c r="A33" s="15">
        <v>29</v>
      </c>
      <c r="B33" s="21"/>
      <c r="C33" s="22"/>
      <c r="D33" s="22"/>
      <c r="E33" s="16">
        <f>IFERROR(IF(OR(D33="Básico",D33=""),0,VLOOKUP(D33,Planes!A4:C6,3,FALSE)),0)</f>
        <v>0</v>
      </c>
      <c r="F33" s="21"/>
      <c r="G33" s="21"/>
      <c r="H33" s="21"/>
      <c r="I33" s="15" t="str">
        <f>IF(AND(H33&lt;&gt;"",B33&lt;&gt;""),H33-B33,"")</f>
        <v/>
      </c>
      <c r="J33" s="15" t="str">
        <f>IF(C33="","",IF(D33="Básico","No califica",IF(AND(H33&lt;&gt;"",I33&lt;90),"CLAWBACK",IF(AND(F33&lt;&gt;"",G33&lt;&gt;""),"Completa (100%)",IF(F33&lt;&gt;"","1ra mitad (50%)","Pendiente")))))</f>
        <v/>
      </c>
    </row>
    <row r="34" spans="1:10">
      <c r="A34" s="15">
        <v>30</v>
      </c>
      <c r="B34" s="21"/>
      <c r="C34" s="22"/>
      <c r="D34" s="22"/>
      <c r="E34" s="16">
        <f>IFERROR(IF(OR(D34="Básico",D34=""),0,VLOOKUP(D34,Planes!A4:C6,3,FALSE)),0)</f>
        <v>0</v>
      </c>
      <c r="F34" s="21"/>
      <c r="G34" s="21"/>
      <c r="H34" s="21"/>
      <c r="I34" s="15" t="str">
        <f>IF(AND(H34&lt;&gt;"",B34&lt;&gt;""),H34-B34,"")</f>
        <v/>
      </c>
      <c r="J34" s="15" t="str">
        <f>IF(C34="","",IF(D34="Básico","No califica",IF(AND(H34&lt;&gt;"",I34&lt;90),"CLAWBACK",IF(AND(F34&lt;&gt;"",G34&lt;&gt;""),"Completa (100%)",IF(F34&lt;&gt;"","1ra mitad (50%)","Pendiente")))))</f>
        <v/>
      </c>
    </row>
    <row r="36" spans="1:10">
      <c r="A36" s="23" t="s">
        <v>75</v>
      </c>
    </row>
    <row r="37" spans="1:10">
      <c r="A37" s="1" t="s">
        <v>76</v>
      </c>
      <c r="E37">
        <f>COUNTA(C5:C34)</f>
        <v>0</v>
      </c>
    </row>
    <row r="38" spans="1:10">
      <c r="A38" s="1" t="s">
        <v>77</v>
      </c>
      <c r="E38" s="24">
        <f>SUMIFS(E5:E34,J5:J34,"Completa*")+SUMIFS(E5:E34,J5:J34,"1ra mitad*")/2</f>
        <v>0</v>
      </c>
    </row>
    <row r="39" spans="1:10">
      <c r="A39" s="1" t="s">
        <v>78</v>
      </c>
      <c r="E39" s="25">
        <f>SUMIFS(E5:E34,J5:J34,"Pendiente*")</f>
        <v>0</v>
      </c>
    </row>
    <row r="40" spans="1:10">
      <c r="A40" s="1" t="s">
        <v>79</v>
      </c>
      <c r="E40" s="26">
        <f>SUMIFS(E5:E34,J5:J34,"CLAWBACK")</f>
        <v>0</v>
      </c>
    </row>
  </sheetData>
  <mergeCells>
    <mergeCell ref="A1:J1"/>
    <mergeCell ref="A2:J2"/>
    <mergeCell ref="A36:J36"/>
  </mergeCells>
  <conditionalFormatting sqref="J5:J34">
    <cfRule type="containsText" dxfId="0" priority="1" operator="containsText" text="Completa">
      <formula>NOT(ISERROR(SEARCH("Completa",J5)))</formula>
    </cfRule>
    <cfRule type="containsText" dxfId="1" priority="2" operator="containsText" text="CLAWBACK">
      <formula>NOT(ISERROR(SEARCH("CLAWBACK",J5)))</formula>
    </cfRule>
    <cfRule type="containsText" dxfId="2" priority="3" operator="containsText" text="Pendiente">
      <formula>NOT(ISERROR(SEARCH("Pendiente",J5)))</formula>
    </cfRule>
  </conditionalFormatting>
  <dataValidations count="30">
    <dataValidation type="list" errorStyle="stop" operator="between" allowBlank="1" showDropDown="0" showInputMessage="0" showErrorMessage="0" sqref="D5">
      <formula1>"Básico,Profesional,Clínica"</formula1>
    </dataValidation>
    <dataValidation type="list" errorStyle="stop" operator="between" allowBlank="1" showDropDown="0" showInputMessage="0" showErrorMessage="0" sqref="D6">
      <formula1>"Básico,Profesional,Clínica"</formula1>
    </dataValidation>
    <dataValidation type="list" errorStyle="stop" operator="between" allowBlank="1" showDropDown="0" showInputMessage="0" showErrorMessage="0" sqref="D7">
      <formula1>"Básico,Profesional,Clínica"</formula1>
    </dataValidation>
    <dataValidation type="list" errorStyle="stop" operator="between" allowBlank="1" showDropDown="0" showInputMessage="0" showErrorMessage="0" sqref="D8">
      <formula1>"Básico,Profesional,Clínica"</formula1>
    </dataValidation>
    <dataValidation type="list" errorStyle="stop" operator="between" allowBlank="1" showDropDown="0" showInputMessage="0" showErrorMessage="0" sqref="D9">
      <formula1>"Básico,Profesional,Clínica"</formula1>
    </dataValidation>
    <dataValidation type="list" errorStyle="stop" operator="between" allowBlank="1" showDropDown="0" showInputMessage="0" showErrorMessage="0" sqref="D10">
      <formula1>"Básico,Profesional,Clínica"</formula1>
    </dataValidation>
    <dataValidation type="list" errorStyle="stop" operator="between" allowBlank="1" showDropDown="0" showInputMessage="0" showErrorMessage="0" sqref="D11">
      <formula1>"Básico,Profesional,Clínica"</formula1>
    </dataValidation>
    <dataValidation type="list" errorStyle="stop" operator="between" allowBlank="1" showDropDown="0" showInputMessage="0" showErrorMessage="0" sqref="D12">
      <formula1>"Básico,Profesional,Clínica"</formula1>
    </dataValidation>
    <dataValidation type="list" errorStyle="stop" operator="between" allowBlank="1" showDropDown="0" showInputMessage="0" showErrorMessage="0" sqref="D13">
      <formula1>"Básico,Profesional,Clínica"</formula1>
    </dataValidation>
    <dataValidation type="list" errorStyle="stop" operator="between" allowBlank="1" showDropDown="0" showInputMessage="0" showErrorMessage="0" sqref="D14">
      <formula1>"Básico,Profesional,Clínica"</formula1>
    </dataValidation>
    <dataValidation type="list" errorStyle="stop" operator="between" allowBlank="1" showDropDown="0" showInputMessage="0" showErrorMessage="0" sqref="D15">
      <formula1>"Básico,Profesional,Clínica"</formula1>
    </dataValidation>
    <dataValidation type="list" errorStyle="stop" operator="between" allowBlank="1" showDropDown="0" showInputMessage="0" showErrorMessage="0" sqref="D16">
      <formula1>"Básico,Profesional,Clínica"</formula1>
    </dataValidation>
    <dataValidation type="list" errorStyle="stop" operator="between" allowBlank="1" showDropDown="0" showInputMessage="0" showErrorMessage="0" sqref="D17">
      <formula1>"Básico,Profesional,Clínica"</formula1>
    </dataValidation>
    <dataValidation type="list" errorStyle="stop" operator="between" allowBlank="1" showDropDown="0" showInputMessage="0" showErrorMessage="0" sqref="D18">
      <formula1>"Básico,Profesional,Clínica"</formula1>
    </dataValidation>
    <dataValidation type="list" errorStyle="stop" operator="between" allowBlank="1" showDropDown="0" showInputMessage="0" showErrorMessage="0" sqref="D19">
      <formula1>"Básico,Profesional,Clínica"</formula1>
    </dataValidation>
    <dataValidation type="list" errorStyle="stop" operator="between" allowBlank="1" showDropDown="0" showInputMessage="0" showErrorMessage="0" sqref="D20">
      <formula1>"Básico,Profesional,Clínica"</formula1>
    </dataValidation>
    <dataValidation type="list" errorStyle="stop" operator="between" allowBlank="1" showDropDown="0" showInputMessage="0" showErrorMessage="0" sqref="D21">
      <formula1>"Básico,Profesional,Clínica"</formula1>
    </dataValidation>
    <dataValidation type="list" errorStyle="stop" operator="between" allowBlank="1" showDropDown="0" showInputMessage="0" showErrorMessage="0" sqref="D22">
      <formula1>"Básico,Profesional,Clínica"</formula1>
    </dataValidation>
    <dataValidation type="list" errorStyle="stop" operator="between" allowBlank="1" showDropDown="0" showInputMessage="0" showErrorMessage="0" sqref="D23">
      <formula1>"Básico,Profesional,Clínica"</formula1>
    </dataValidation>
    <dataValidation type="list" errorStyle="stop" operator="between" allowBlank="1" showDropDown="0" showInputMessage="0" showErrorMessage="0" sqref="D24">
      <formula1>"Básico,Profesional,Clínica"</formula1>
    </dataValidation>
    <dataValidation type="list" errorStyle="stop" operator="between" allowBlank="1" showDropDown="0" showInputMessage="0" showErrorMessage="0" sqref="D25">
      <formula1>"Básico,Profesional,Clínica"</formula1>
    </dataValidation>
    <dataValidation type="list" errorStyle="stop" operator="between" allowBlank="1" showDropDown="0" showInputMessage="0" showErrorMessage="0" sqref="D26">
      <formula1>"Básico,Profesional,Clínica"</formula1>
    </dataValidation>
    <dataValidation type="list" errorStyle="stop" operator="between" allowBlank="1" showDropDown="0" showInputMessage="0" showErrorMessage="0" sqref="D27">
      <formula1>"Básico,Profesional,Clínica"</formula1>
    </dataValidation>
    <dataValidation type="list" errorStyle="stop" operator="between" allowBlank="1" showDropDown="0" showInputMessage="0" showErrorMessage="0" sqref="D28">
      <formula1>"Básico,Profesional,Clínica"</formula1>
    </dataValidation>
    <dataValidation type="list" errorStyle="stop" operator="between" allowBlank="1" showDropDown="0" showInputMessage="0" showErrorMessage="0" sqref="D29">
      <formula1>"Básico,Profesional,Clínica"</formula1>
    </dataValidation>
    <dataValidation type="list" errorStyle="stop" operator="between" allowBlank="1" showDropDown="0" showInputMessage="0" showErrorMessage="0" sqref="D30">
      <formula1>"Básico,Profesional,Clínica"</formula1>
    </dataValidation>
    <dataValidation type="list" errorStyle="stop" operator="between" allowBlank="1" showDropDown="0" showInputMessage="0" showErrorMessage="0" sqref="D31">
      <formula1>"Básico,Profesional,Clínica"</formula1>
    </dataValidation>
    <dataValidation type="list" errorStyle="stop" operator="between" allowBlank="1" showDropDown="0" showInputMessage="0" showErrorMessage="0" sqref="D32">
      <formula1>"Básico,Profesional,Clínica"</formula1>
    </dataValidation>
    <dataValidation type="list" errorStyle="stop" operator="between" allowBlank="1" showDropDown="0" showInputMessage="0" showErrorMessage="0" sqref="D33">
      <formula1>"Básico,Profesional,Clínica"</formula1>
    </dataValidation>
    <dataValidation type="list" errorStyle="stop" operator="between" allowBlank="1" showDropDown="0" showInputMessage="0" showErrorMessage="0" sqref="D34">
      <formula1>"Básico,Profesional,Clínica"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"/>
  <sheetViews>
    <sheetView tabSelected="0" workbookViewId="0" showGridLines="true" showRowColHeaders="1">
      <selection activeCell="A10" sqref="A10"/>
    </sheetView>
  </sheetViews>
  <sheetFormatPr defaultRowHeight="14.4" outlineLevelRow="0" outlineLevelCol="0"/>
  <cols>
    <col min="1" max="1" width="16" customWidth="true" style="0"/>
    <col min="2" max="2" width="18" customWidth="true" style="0"/>
    <col min="3" max="3" width="22" customWidth="true" style="0"/>
    <col min="4" max="4" width="18" customWidth="true" style="0"/>
    <col min="5" max="5" width="14" customWidth="true" style="0"/>
  </cols>
  <sheetData>
    <row r="1" spans="1:5">
      <c r="A1" s="14" t="s">
        <v>80</v>
      </c>
    </row>
    <row r="3" spans="1:5">
      <c r="A3" s="27" t="s">
        <v>68</v>
      </c>
      <c r="B3" s="27" t="s">
        <v>39</v>
      </c>
      <c r="C3" s="27" t="s">
        <v>81</v>
      </c>
      <c r="D3" s="27" t="s">
        <v>82</v>
      </c>
      <c r="E3" s="27" t="s">
        <v>83</v>
      </c>
    </row>
    <row r="4" spans="1:5">
      <c r="A4" s="15" t="s">
        <v>84</v>
      </c>
      <c r="B4" s="16">
        <v>0</v>
      </c>
      <c r="C4" s="16">
        <v>0</v>
      </c>
      <c r="D4" s="16">
        <v>0</v>
      </c>
      <c r="E4" s="28" t="s">
        <v>85</v>
      </c>
    </row>
    <row r="5" spans="1:5">
      <c r="A5" s="15" t="s">
        <v>86</v>
      </c>
      <c r="B5" s="16">
        <v>149</v>
      </c>
      <c r="C5" s="16">
        <v>223.5</v>
      </c>
      <c r="D5" s="16">
        <v>111.75</v>
      </c>
      <c r="E5" s="28" t="s">
        <v>87</v>
      </c>
    </row>
    <row r="6" spans="1:5">
      <c r="A6" s="15" t="s">
        <v>88</v>
      </c>
      <c r="B6" s="16">
        <v>299</v>
      </c>
      <c r="C6" s="16">
        <v>448.5</v>
      </c>
      <c r="D6" s="16">
        <v>224.25</v>
      </c>
      <c r="E6" s="28" t="s">
        <v>87</v>
      </c>
    </row>
    <row r="7" spans="1:5">
      <c r="A7" t="s">
        <v>89</v>
      </c>
      <c r="B7">
        <v>499</v>
      </c>
      <c r="C7">
        <v>748.5</v>
      </c>
      <c r="D7">
        <v>374.25</v>
      </c>
      <c r="E7" t="s">
        <v>87</v>
      </c>
    </row>
    <row r="9" spans="1:5">
      <c r="A9" s="5" t="s">
        <v>90</v>
      </c>
    </row>
    <row r="10" spans="1:5">
      <c r="A10" s="5" t="s">
        <v>91</v>
      </c>
    </row>
  </sheetData>
  <mergeCells>
    <mergeCell ref="A1:E1"/>
    <mergeCell ref="A9:E9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Acuerdo</vt:lpstr>
      <vt:lpstr>Calculadora</vt:lpstr>
      <vt:lpstr>Tracking</vt:lpstr>
      <vt:lpstr>Planes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2026-04-11T18:35:07+00:00</dcterms:created>
  <dcterms:modified xsi:type="dcterms:W3CDTF">2026-04-11T18:35:07+00:00</dcterms:modified>
  <dc:title>Untitled Spreadsheet</dc:title>
  <dc:description/>
  <dc:subject/>
  <cp:keywords/>
  <cp:category/>
</cp:coreProperties>
</file>