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umen" sheetId="1" r:id="rId4"/>
    <sheet name="Básico" sheetId="2" r:id="rId5"/>
    <sheet name="Profesional" sheetId="3" r:id="rId6"/>
    <sheet name="Clínica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<sst xmlns="http://schemas.openxmlformats.org/spreadsheetml/2006/main" uniqueCount="51">
  <si>
    <t>DocFácil — Corridas de caja del módulo de ventas</t>
  </si>
  <si>
    <t>Parámetros: 3 vendedores × 10 ventas/mes · comisión 3× split 50/50 · churn 2.5% mensual</t>
  </si>
  <si>
    <t>Plan</t>
  </si>
  <si>
    <t>Precio mensual</t>
  </si>
  <si>
    <t>Caja mínima</t>
  </si>
  <si>
    <t>Caja recomendada (+50% colchón)</t>
  </si>
  <si>
    <t>Breakeven</t>
  </si>
  <si>
    <t>Margen mensual mes 12</t>
  </si>
  <si>
    <t>Básico</t>
  </si>
  <si>
    <t>Mes 6</t>
  </si>
  <si>
    <t>Profesional</t>
  </si>
  <si>
    <t>Clínica</t>
  </si>
  <si>
    <t>NOTAS IMPORTANTES</t>
  </si>
  <si>
    <t>1. Supuestos: sin rampa de vendedores (cierran 10/mes desde el mes 1). En realidad es menos el primer mes.</t>
  </si>
  <si>
    <t>2. Costo operativo: Básico $20/cliente/mes, Profesional $30, Clínica $50 (incluye hosting, WhatsApp, email, Stripe fees).</t>
  </si>
  <si>
    <t>3. Mes 3 es siempre el peor momento: pagas la segunda mitad del cohorte 2 + la primera del cohorte 3.</t>
  </si>
  <si>
    <t>4. Breakeven cae en mes 6 en los 3 escenarios por la estructura 50/50.</t>
  </si>
  <si>
    <t>5. Si el vendedor cierra solo 5/mes en lugar de 10, multiplica todo por 0.5 (caja mínima y breakeven).</t>
  </si>
  <si>
    <t>6. Las comisiones se pagan SOLO si el cliente hace su primer pago (50%) y su segundo pago (50%). Si cancela antes de 90 días, clawback.</t>
  </si>
  <si>
    <t>7. Cada hoja tiene parámetros editables arriba. Cambia # vendedores, churn, precio, ventas/mes y todo se recalcula.</t>
  </si>
  <si>
    <t>8. MRR = Monthly Recurring Revenue = ingreso recurrente mensual por clientes activos.</t>
  </si>
  <si>
    <t>PARÁMETROS EDITABLES — cambia los valores y toda la tabla se recalcula</t>
  </si>
  <si>
    <t>Precio mensual (MXN)</t>
  </si>
  <si>
    <t># Vendedores</t>
  </si>
  <si>
    <t>Ventas/mes por vendedor</t>
  </si>
  <si>
    <t>Multiplicador comisión</t>
  </si>
  <si>
    <t>Split primera mitad (%)</t>
  </si>
  <si>
    <t>Churn mensual (%)</t>
  </si>
  <si>
    <t>Costo operativo/cliente (MXN)</t>
  </si>
  <si>
    <t>Valores derivados</t>
  </si>
  <si>
    <t>Nuevos/mes</t>
  </si>
  <si>
    <t>Comisión total/venta</t>
  </si>
  <si>
    <t>Primera mitad/venta</t>
  </si>
  <si>
    <t>Segunda mitad/venta</t>
  </si>
  <si>
    <t>Mes</t>
  </si>
  <si>
    <t>Activos inicio</t>
  </si>
  <si>
    <t>Nuevos</t>
  </si>
  <si>
    <t>Activos después churn</t>
  </si>
  <si>
    <t>Ingreso MRR</t>
  </si>
  <si>
    <t>Costo operativo</t>
  </si>
  <si>
    <t>Comisión mes 1ra</t>
  </si>
  <si>
    <t>Comisión mes 2da</t>
  </si>
  <si>
    <t>Comisión total</t>
  </si>
  <si>
    <t>Neto mes</t>
  </si>
  <si>
    <t>Acumulado</t>
  </si>
  <si>
    <t>INDICADORES CLAVE</t>
  </si>
  <si>
    <t>Caja mínima requerida (el valor más negativo del acumulado)</t>
  </si>
  <si>
    <t>Caja recomendada (mínima + 50% colchón)</t>
  </si>
  <si>
    <t>Ingreso mensual mes 12 (MRR estimado)</t>
  </si>
  <si>
    <t>Margen neto mensual mes 12</t>
  </si>
  <si>
    <t>Pro</t>
  </si>
</sst>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0.0%"/>
    <numFmt numFmtId="167" formatCode="#,##0.0"/>
    <numFmt numFmtId="168" formatCode="&quot;$&quot;#,##0;[Red]&quot;-$&quot;#,##0"/>
  </numFmts>
  <fonts count="7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0"/>
      <i val="1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F6E56"/>
      <name val="Calibri"/>
    </font>
    <font>
      <b val="1"/>
      <i val="0"/>
      <strike val="0"/>
      <u val="none"/>
      <sz val="12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6E56"/>
        <bgColor rgb="FF000000"/>
      </patternFill>
    </fill>
    <fill>
      <patternFill patternType="solid">
        <fgColor rgb="FFFFF59D"/>
        <bgColor rgb="FF000000"/>
      </patternFill>
    </fill>
    <fill>
      <patternFill patternType="solid">
        <fgColor rgb="FFFFF9C4"/>
        <bgColor rgb="FF000000"/>
      </patternFill>
    </fill>
    <fill>
      <patternFill patternType="solid">
        <fgColor rgb="FFE1F5EE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2" borderId="1" applyFont="1" applyNumberFormat="0" applyFill="1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64" fillId="0" borderId="1" applyFont="0" applyNumberFormat="1" applyFill="0" applyBorder="1" applyAlignment="0"/>
    <xf xfId="0" fontId="5" numFmtId="164" fillId="0" borderId="1" applyFont="1" applyNumberFormat="1" applyFill="0" applyBorder="1" applyAlignment="0"/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0"/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4" borderId="1" applyFont="0" applyNumberFormat="0" applyFill="1" applyBorder="1" applyAlignment="0"/>
    <xf xfId="0" fontId="0" numFmtId="165" fillId="4" borderId="1" applyFont="0" applyNumberFormat="1" applyFill="1" applyBorder="1" applyAlignment="0"/>
    <xf xfId="0" fontId="0" numFmtId="166" fillId="4" borderId="1" applyFont="0" applyNumberFormat="1" applyFill="1" applyBorder="1" applyAlignment="0"/>
    <xf xfId="0" fontId="0" numFmtId="9" fillId="4" borderId="1" applyFont="0" applyNumberFormat="1" applyFill="1" applyBorder="1" applyAlignment="0"/>
    <xf xfId="0" fontId="0" numFmtId="165" fillId="0" borderId="0" applyFont="0" applyNumberFormat="1" applyFill="0" applyBorder="0" applyAlignment="0"/>
    <xf xfId="0" fontId="0" numFmtId="167" fillId="0" borderId="1" applyFont="0" applyNumberFormat="1" applyFill="0" applyBorder="1" applyAlignment="0"/>
    <xf xfId="0" fontId="0" numFmtId="168" fillId="0" borderId="1" applyFont="0" applyNumberFormat="1" applyFill="0" applyBorder="1" applyAlignment="0"/>
    <xf xfId="0" fontId="6" numFmtId="0" fillId="5" borderId="0" applyFont="1" applyNumberFormat="0" applyFill="1" applyBorder="0" applyAlignment="1">
      <alignment horizontal="center" vertical="bottom" textRotation="0" wrapText="false" shrinkToFit="false"/>
    </xf>
    <xf xfId="0" fontId="1" numFmtId="164" fillId="0" borderId="0" applyFont="1" applyNumberFormat="1" applyFill="0" applyBorder="0" applyAlignment="0"/>
    <xf xfId="0" fontId="5" numFmtId="164" fillId="0" borderId="0" applyFont="1" applyNumberFormat="1" applyFill="0" applyBorder="0" applyAlignment="0"/>
  </cellXfs>
  <cellStyles count="1">
    <cellStyle name="Normal" xfId="0" builtinId="0"/>
  </cellStyles>
  <dxfs count="2">
    <dxf>
      <font>
        <b val="1"/>
        <color rgb="FFC62828"/>
      </font>
      <border/>
    </dxf>
    <dxf>
      <font>
        <b val="1"/>
        <color rgb="FF0F6E56"/>
      </font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7"/>
  <sheetViews>
    <sheetView tabSelected="1" workbookViewId="0" showGridLines="true" showRowColHeaders="1">
      <selection activeCell="A9" sqref="A9"/>
    </sheetView>
  </sheetViews>
  <sheetFormatPr defaultRowHeight="14.4" outlineLevelRow="0" outlineLevelCol="0"/>
  <cols>
    <col min="1" max="1" width="18" customWidth="true" style="0"/>
    <col min="2" max="2" width="18" customWidth="true" style="0"/>
    <col min="3" max="3" width="18" customWidth="true" style="0"/>
    <col min="4" max="4" width="28" customWidth="true" style="0"/>
    <col min="5" max="5" width="14" customWidth="true" style="0"/>
    <col min="6" max="6" width="22" customWidth="true" style="0"/>
  </cols>
  <sheetData>
    <row r="1" spans="1:6">
      <c r="A1" s="2" t="s">
        <v>0</v>
      </c>
    </row>
    <row r="2" spans="1:6">
      <c r="A2" s="3" t="s">
        <v>1</v>
      </c>
    </row>
    <row r="4" spans="1:6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>
      <c r="A5" s="5" t="s">
        <v>8</v>
      </c>
      <c r="B5" s="6">
        <f>Básico!B4</f>
        <v>149</v>
      </c>
      <c r="C5" s="6">
        <f>Básico!F28</f>
        <v>12123.43312500000138</v>
      </c>
      <c r="D5" s="7">
        <f>Básico!F29</f>
        <v>18185.14968750000116</v>
      </c>
      <c r="E5" s="8" t="s">
        <v>9</v>
      </c>
      <c r="F5" s="6">
        <f>Básico!F31</f>
        <v>24601.19998746944475</v>
      </c>
    </row>
    <row r="6" spans="1:6">
      <c r="A6" s="5" t="s">
        <v>10</v>
      </c>
      <c r="B6" s="6">
        <f>Profesional!B4</f>
        <v>299</v>
      </c>
      <c r="C6" s="6">
        <f>Profesional!F28</f>
        <v>21710.37375000000247</v>
      </c>
      <c r="D6" s="7">
        <f>Profesional!F29</f>
        <v>32565.56062500000553</v>
      </c>
      <c r="E6" s="8" t="s">
        <v>9</v>
      </c>
      <c r="F6" s="6">
        <f>Profesional!F31</f>
        <v>54017.0709410639829</v>
      </c>
    </row>
    <row r="7" spans="1:6">
      <c r="A7" s="5" t="s">
        <v>11</v>
      </c>
      <c r="B7" s="6">
        <f>Clínica!B4</f>
        <v>499</v>
      </c>
      <c r="C7" s="6">
        <f>Clínica!F28</f>
        <v>33917.65031250000175</v>
      </c>
      <c r="D7" s="7">
        <f>Clínica!F29</f>
        <v>50876.47546875000262</v>
      </c>
      <c r="E7" s="8" t="s">
        <v>9</v>
      </c>
      <c r="F7" s="6">
        <f>Clínica!F31</f>
        <v>94260.038663799408823</v>
      </c>
    </row>
    <row r="9" spans="1:6">
      <c r="A9" s="9" t="s">
        <v>12</v>
      </c>
    </row>
    <row r="10" spans="1:6">
      <c r="A10" t="s">
        <v>13</v>
      </c>
    </row>
    <row r="11" spans="1:6">
      <c r="A11" t="s">
        <v>14</v>
      </c>
    </row>
    <row r="12" spans="1:6">
      <c r="A12" t="s">
        <v>15</v>
      </c>
    </row>
    <row r="13" spans="1:6">
      <c r="A13" t="s">
        <v>16</v>
      </c>
    </row>
    <row r="14" spans="1:6">
      <c r="A14" t="s">
        <v>17</v>
      </c>
    </row>
    <row r="15" spans="1:6">
      <c r="A15" t="s">
        <v>18</v>
      </c>
    </row>
    <row r="16" spans="1:6">
      <c r="A16" t="s">
        <v>19</v>
      </c>
    </row>
    <row r="17" spans="1:6">
      <c r="A17" t="s">
        <v>20</v>
      </c>
    </row>
  </sheetData>
  <mergeCells>
    <mergeCell ref="A1:F1"/>
    <mergeCell ref="A2:F2"/>
    <mergeCell ref="A10:F10"/>
    <mergeCell ref="A11:F11"/>
    <mergeCell ref="A12:F12"/>
    <mergeCell ref="A13:F13"/>
    <mergeCell ref="A14:F14"/>
    <mergeCell ref="A15:F15"/>
    <mergeCell ref="A16:F16"/>
    <mergeCell ref="A17:F17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8</v>
      </c>
      <c r="D3" s="1" t="s">
        <v>29</v>
      </c>
    </row>
    <row r="4" spans="1:11">
      <c r="A4" s="1" t="s">
        <v>22</v>
      </c>
      <c r="B4" s="12">
        <v>149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447</v>
      </c>
    </row>
    <row r="6" spans="1:11">
      <c r="A6" s="1" t="s">
        <v>24</v>
      </c>
      <c r="B6" s="11">
        <v>10</v>
      </c>
      <c r="D6" t="s">
        <v>32</v>
      </c>
      <c r="E6" s="15">
        <f>E5*B8</f>
        <v>223.5</v>
      </c>
    </row>
    <row r="7" spans="1:11">
      <c r="A7" s="1" t="s">
        <v>25</v>
      </c>
      <c r="B7" s="11">
        <v>3</v>
      </c>
      <c r="D7" t="s">
        <v>33</v>
      </c>
      <c r="E7" s="15">
        <f>E5*(1-B8)</f>
        <v>223.5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25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4358.25</v>
      </c>
      <c r="F14" s="17">
        <f>-D14*$B$10</f>
        <v>-731.25</v>
      </c>
      <c r="G14" s="17">
        <f>-C14*$E$6</f>
        <v>-6705</v>
      </c>
      <c r="H14" s="17">
        <v>0</v>
      </c>
      <c r="I14" s="17">
        <f>G14+H14</f>
        <v>-6705</v>
      </c>
      <c r="J14" s="17">
        <f>E14+F14+I14</f>
        <v>-3078</v>
      </c>
      <c r="K14" s="17">
        <f>J14</f>
        <v>-3078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8607.54374999999891</v>
      </c>
      <c r="F15" s="17">
        <f>-D15*$B$10</f>
        <v>-1444.21875</v>
      </c>
      <c r="G15" s="17">
        <f>-C15*$E$6</f>
        <v>-6705</v>
      </c>
      <c r="H15" s="17">
        <f>-C14*$E$7</f>
        <v>-6705</v>
      </c>
      <c r="I15" s="17">
        <f>G15+H15</f>
        <v>-13410</v>
      </c>
      <c r="J15" s="17">
        <f>E15+F15+I15</f>
        <v>-6246.67500000000109</v>
      </c>
      <c r="K15" s="17">
        <f>K14+J15</f>
        <v>-9324.67500000000109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12750.60515624999971</v>
      </c>
      <c r="F16" s="17">
        <f>-D16*$B$10</f>
        <v>-2139.36328125</v>
      </c>
      <c r="G16" s="17">
        <f>-C16*$E$6</f>
        <v>-6705</v>
      </c>
      <c r="H16" s="17">
        <f>-C15*$E$7</f>
        <v>-6705</v>
      </c>
      <c r="I16" s="17">
        <f>G16+H16</f>
        <v>-13410</v>
      </c>
      <c r="J16" s="17">
        <f>E16+F16+I16</f>
        <v>-2798.75812500000029</v>
      </c>
      <c r="K16" s="17">
        <f>K15+J16</f>
        <v>-12123.43312500000138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16790.090027343747352</v>
      </c>
      <c r="F17" s="17">
        <f>-D17*$B$10</f>
        <v>-2817.12919921874982</v>
      </c>
      <c r="G17" s="17">
        <f>-C17*$E$6</f>
        <v>-6705</v>
      </c>
      <c r="H17" s="17">
        <f>-C16*$E$7</f>
        <v>-6705</v>
      </c>
      <c r="I17" s="17">
        <f>G17+H17</f>
        <v>-13410</v>
      </c>
      <c r="J17" s="17">
        <f>E17+F17+I17</f>
        <v>562.96082812499662</v>
      </c>
      <c r="K17" s="17">
        <f>K16+J17</f>
        <v>-11560.47229687500476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20728.58777666015521</v>
      </c>
      <c r="F18" s="17">
        <f>-D18*$B$10</f>
        <v>-3477.95096923828078</v>
      </c>
      <c r="G18" s="17">
        <f>-C18*$E$6</f>
        <v>-6705</v>
      </c>
      <c r="H18" s="17">
        <f>-C17*$E$7</f>
        <v>-6705</v>
      </c>
      <c r="I18" s="17">
        <f>G18+H18</f>
        <v>-13410</v>
      </c>
      <c r="J18" s="17">
        <f>E18+F18+I18</f>
        <v>3840.63680742187353</v>
      </c>
      <c r="K18" s="17">
        <f>K17+J18</f>
        <v>-7719.83548945313123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24568.62308224364824</v>
      </c>
      <c r="F19" s="17">
        <f>-D19*$B$10</f>
        <v>-4122.25219500732328</v>
      </c>
      <c r="G19" s="17">
        <f>-C19*$E$6</f>
        <v>-6705</v>
      </c>
      <c r="H19" s="17">
        <f>-C18*$E$7</f>
        <v>-6705</v>
      </c>
      <c r="I19" s="17">
        <f>G19+H19</f>
        <v>-13410</v>
      </c>
      <c r="J19" s="17">
        <f>E19+F19+I19</f>
        <v>7036.37088723632405</v>
      </c>
      <c r="K19" s="17">
        <f>K18+J19</f>
        <v>-683.46460221680718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28312.65750518755885</v>
      </c>
      <c r="F20" s="17">
        <f>-D20*$B$10</f>
        <v>-4750.44589013214045</v>
      </c>
      <c r="G20" s="17">
        <f>-C20*$E$6</f>
        <v>-6705</v>
      </c>
      <c r="H20" s="17">
        <f>-C19*$E$7</f>
        <v>-6705</v>
      </c>
      <c r="I20" s="17">
        <f>G20+H20</f>
        <v>-13410</v>
      </c>
      <c r="J20" s="17">
        <f>E20+F20+I20</f>
        <v>10152.2116150554175</v>
      </c>
      <c r="K20" s="17">
        <f>K19+J20</f>
        <v>9468.74701283861032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31963.091067557870701</v>
      </c>
      <c r="F21" s="17">
        <f>-D21*$B$10</f>
        <v>-5362.93474287883691</v>
      </c>
      <c r="G21" s="17">
        <f>-C21*$E$6</f>
        <v>-6705</v>
      </c>
      <c r="H21" s="17">
        <f>-C20*$E$7</f>
        <v>-6705</v>
      </c>
      <c r="I21" s="17">
        <f>G21+H21</f>
        <v>-13410</v>
      </c>
      <c r="J21" s="17">
        <f>E21+F21+I21</f>
        <v>13190.15632467903197</v>
      </c>
      <c r="K21" s="17">
        <f>K20+J21</f>
        <v>22658.9033375176441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35522.26379086892121</v>
      </c>
      <c r="F22" s="17">
        <f>-D22*$B$10</f>
        <v>-5960.11137430686631</v>
      </c>
      <c r="G22" s="17">
        <f>-C22*$E$6</f>
        <v>-6705</v>
      </c>
      <c r="H22" s="17">
        <f>-C21*$E$7</f>
        <v>-6705</v>
      </c>
      <c r="I22" s="17">
        <f>G22+H22</f>
        <v>-13410</v>
      </c>
      <c r="J22" s="17">
        <f>E22+F22+I22</f>
        <v>16152.15241656205399</v>
      </c>
      <c r="K22" s="17">
        <f>K21+J22</f>
        <v>38811.055754079701728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38992.45719609719526</v>
      </c>
      <c r="F23" s="17">
        <f>-D23*$B$10</f>
        <v>-6542.35858994919363</v>
      </c>
      <c r="G23" s="17">
        <f>-C23*$E$6</f>
        <v>-6705</v>
      </c>
      <c r="H23" s="17">
        <f>-C22*$E$7</f>
        <v>-6705</v>
      </c>
      <c r="I23" s="17">
        <f>G23+H23</f>
        <v>-13410</v>
      </c>
      <c r="J23" s="17">
        <f>E23+F23+I23</f>
        <v>19040.098606147999817</v>
      </c>
      <c r="K23" s="17">
        <f>K22+J23</f>
        <v>57851.15436022770155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42375.89576619477157</v>
      </c>
      <c r="F24" s="17">
        <f>-D24*$B$10</f>
        <v>-7110.049625200465016</v>
      </c>
      <c r="G24" s="17">
        <f>-C24*$E$6</f>
        <v>-6705</v>
      </c>
      <c r="H24" s="17">
        <f>-C23*$E$7</f>
        <v>-6705</v>
      </c>
      <c r="I24" s="17">
        <f>G24+H24</f>
        <v>-13410</v>
      </c>
      <c r="J24" s="17">
        <f>E24+F24+I24</f>
        <v>21855.84614099430473</v>
      </c>
      <c r="K24" s="17">
        <f>K23+J24</f>
        <v>79707.00050122200627811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45674.74837203989591</v>
      </c>
      <c r="F25" s="17">
        <f>-D25*$B$10</f>
        <v>-7663.54838457045298</v>
      </c>
      <c r="G25" s="17">
        <f>-C25*$E$6</f>
        <v>-6705</v>
      </c>
      <c r="H25" s="17">
        <f>-C24*$E$7</f>
        <v>-6705</v>
      </c>
      <c r="I25" s="17">
        <f>G25+H25</f>
        <v>-13410</v>
      </c>
      <c r="J25" s="17">
        <f>E25+F25+I25</f>
        <v>24601.19998746944475</v>
      </c>
      <c r="K25" s="17">
        <f>K24+J25</f>
        <v>104308.20048869145103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12123.43312500000138</v>
      </c>
    </row>
    <row r="29" spans="1:11">
      <c r="A29" t="s">
        <v>47</v>
      </c>
      <c r="F29" s="20">
        <f>F28*1.5</f>
        <v>18185.14968750000116</v>
      </c>
    </row>
    <row r="30" spans="1:11">
      <c r="A30" t="s">
        <v>48</v>
      </c>
      <c r="F30" s="19">
        <f>E25</f>
        <v>45674.74837203989591</v>
      </c>
    </row>
    <row r="31" spans="1:11">
      <c r="A31" t="s">
        <v>49</v>
      </c>
      <c r="F31" s="19">
        <f>J25</f>
        <v>24601.19998746944475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50</v>
      </c>
      <c r="D3" s="1" t="s">
        <v>29</v>
      </c>
    </row>
    <row r="4" spans="1:11">
      <c r="A4" s="1" t="s">
        <v>22</v>
      </c>
      <c r="B4" s="12">
        <v>299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897</v>
      </c>
    </row>
    <row r="6" spans="1:11">
      <c r="A6" s="1" t="s">
        <v>24</v>
      </c>
      <c r="B6" s="11">
        <v>10</v>
      </c>
      <c r="D6" t="s">
        <v>32</v>
      </c>
      <c r="E6" s="15">
        <f>E5*B8</f>
        <v>448.5</v>
      </c>
    </row>
    <row r="7" spans="1:11">
      <c r="A7" s="1" t="s">
        <v>25</v>
      </c>
      <c r="B7" s="11">
        <v>3</v>
      </c>
      <c r="D7" t="s">
        <v>33</v>
      </c>
      <c r="E7" s="15">
        <f>E5*(1-B8)</f>
        <v>448.5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35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8745.75</v>
      </c>
      <c r="F14" s="17">
        <f>-D14*$B$10</f>
        <v>-1023.75</v>
      </c>
      <c r="G14" s="17">
        <f>-C14*$E$6</f>
        <v>-13455</v>
      </c>
      <c r="H14" s="17">
        <v>0</v>
      </c>
      <c r="I14" s="17">
        <f>G14+H14</f>
        <v>-13455</v>
      </c>
      <c r="J14" s="17">
        <f>E14+F14+I14</f>
        <v>-5733</v>
      </c>
      <c r="K14" s="17">
        <f>J14</f>
        <v>-5733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17272.85625000000073</v>
      </c>
      <c r="F15" s="17">
        <f>-D15*$B$10</f>
        <v>-2021.90625</v>
      </c>
      <c r="G15" s="17">
        <f>-C15*$E$6</f>
        <v>-13455</v>
      </c>
      <c r="H15" s="17">
        <f>-C14*$E$7</f>
        <v>-13455</v>
      </c>
      <c r="I15" s="17">
        <f>G15+H15</f>
        <v>-26910</v>
      </c>
      <c r="J15" s="17">
        <f>E15+F15+I15</f>
        <v>-11659.049999999999272</v>
      </c>
      <c r="K15" s="17">
        <f>K14+J15</f>
        <v>-17392.049999999999272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25586.78484374999607</v>
      </c>
      <c r="F16" s="17">
        <f>-D16*$B$10</f>
        <v>-2995.10859374999973</v>
      </c>
      <c r="G16" s="17">
        <f>-C16*$E$6</f>
        <v>-13455</v>
      </c>
      <c r="H16" s="17">
        <f>-C15*$E$7</f>
        <v>-13455</v>
      </c>
      <c r="I16" s="17">
        <f>G16+H16</f>
        <v>-26910</v>
      </c>
      <c r="J16" s="17">
        <f>E16+F16+I16</f>
        <v>-4318.3237500000032</v>
      </c>
      <c r="K16" s="17">
        <f>K15+J16</f>
        <v>-21710.37375000000247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33692.86522265624808</v>
      </c>
      <c r="F17" s="17">
        <f>-D17*$B$10</f>
        <v>-3943.98087890624993</v>
      </c>
      <c r="G17" s="17">
        <f>-C17*$E$6</f>
        <v>-13455</v>
      </c>
      <c r="H17" s="17">
        <f>-C16*$E$7</f>
        <v>-13455</v>
      </c>
      <c r="I17" s="17">
        <f>G17+H17</f>
        <v>-26910</v>
      </c>
      <c r="J17" s="17">
        <f>E17+F17+I17</f>
        <v>2838.88434374999633</v>
      </c>
      <c r="K17" s="17">
        <f>K16+J17</f>
        <v>-18871.48940625000614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41596.29359208983806</v>
      </c>
      <c r="F18" s="17">
        <f>-D18*$B$10</f>
        <v>-4869.13135693359345</v>
      </c>
      <c r="G18" s="17">
        <f>-C18*$E$6</f>
        <v>-13455</v>
      </c>
      <c r="H18" s="17">
        <f>-C17*$E$7</f>
        <v>-13455</v>
      </c>
      <c r="I18" s="17">
        <f>G18+H18</f>
        <v>-26910</v>
      </c>
      <c r="J18" s="17">
        <f>E18+F18+I18</f>
        <v>9817.16223515624733</v>
      </c>
      <c r="K18" s="17">
        <f>K17+J18</f>
        <v>-9054.32717109375881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49302.13625228759338</v>
      </c>
      <c r="F19" s="17">
        <f>-D19*$B$10</f>
        <v>-5771.15307301025314</v>
      </c>
      <c r="G19" s="17">
        <f>-C19*$E$6</f>
        <v>-13455</v>
      </c>
      <c r="H19" s="17">
        <f>-C18*$E$7</f>
        <v>-13455</v>
      </c>
      <c r="I19" s="17">
        <f>G19+H19</f>
        <v>-26910</v>
      </c>
      <c r="J19" s="17">
        <f>E19+F19+I19</f>
        <v>16620.98317927734024</v>
      </c>
      <c r="K19" s="17">
        <f>K18+J19</f>
        <v>7566.65600818358143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56815.33284598040336</v>
      </c>
      <c r="F20" s="17">
        <f>-D20*$B$10</f>
        <v>-6650.62424618499699</v>
      </c>
      <c r="G20" s="17">
        <f>-C20*$E$6</f>
        <v>-13455</v>
      </c>
      <c r="H20" s="17">
        <f>-C19*$E$7</f>
        <v>-13455</v>
      </c>
      <c r="I20" s="17">
        <f>G20+H20</f>
        <v>-26910</v>
      </c>
      <c r="J20" s="17">
        <f>E20+F20+I20</f>
        <v>23254.70859979540546</v>
      </c>
      <c r="K20" s="17">
        <f>K19+J20</f>
        <v>30821.3646079789869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64140.69952483088855</v>
      </c>
      <c r="F21" s="17">
        <f>-D21*$B$10</f>
        <v>-7508.10864003037204</v>
      </c>
      <c r="G21" s="17">
        <f>-C21*$E$6</f>
        <v>-13455</v>
      </c>
      <c r="H21" s="17">
        <f>-C20*$E$7</f>
        <v>-13455</v>
      </c>
      <c r="I21" s="17">
        <f>G21+H21</f>
        <v>-26910</v>
      </c>
      <c r="J21" s="17">
        <f>E21+F21+I21</f>
        <v>29722.59088480052014</v>
      </c>
      <c r="K21" s="17">
        <f>K20+J21</f>
        <v>60543.95549277951068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71282.93203671011725</v>
      </c>
      <c r="F22" s="17">
        <f>-D22*$B$10</f>
        <v>-8344.15592402961192</v>
      </c>
      <c r="G22" s="17">
        <f>-C22*$E$6</f>
        <v>-13455</v>
      </c>
      <c r="H22" s="17">
        <f>-C21*$E$7</f>
        <v>-13455</v>
      </c>
      <c r="I22" s="17">
        <f>G22+H22</f>
        <v>-26910</v>
      </c>
      <c r="J22" s="17">
        <f>E22+F22+I22</f>
        <v>36028.77611268050532</v>
      </c>
      <c r="K22" s="17">
        <f>K21+J22</f>
        <v>96572.73160546002327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78246.6087357923534</v>
      </c>
      <c r="F23" s="17">
        <f>-D23*$B$10</f>
        <v>-9159.30202592887144</v>
      </c>
      <c r="G23" s="17">
        <f>-C23*$E$6</f>
        <v>-13455</v>
      </c>
      <c r="H23" s="17">
        <f>-C22*$E$7</f>
        <v>-13455</v>
      </c>
      <c r="I23" s="17">
        <f>G23+H23</f>
        <v>-26910</v>
      </c>
      <c r="J23" s="17">
        <f>E23+F23+I23</f>
        <v>42177.30670986347832</v>
      </c>
      <c r="K23" s="17">
        <f>K22+J23</f>
        <v>138750.038315323501593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85036.19351739755075</v>
      </c>
      <c r="F24" s="17">
        <f>-D24*$B$10</f>
        <v>-9954.069475280650295</v>
      </c>
      <c r="G24" s="17">
        <f>-C24*$E$6</f>
        <v>-13455</v>
      </c>
      <c r="H24" s="17">
        <f>-C23*$E$7</f>
        <v>-13455</v>
      </c>
      <c r="I24" s="17">
        <f>G24+H24</f>
        <v>-26910</v>
      </c>
      <c r="J24" s="17">
        <f>E24+F24+I24</f>
        <v>48172.12404211690591</v>
      </c>
      <c r="K24" s="17">
        <f>K23+J24</f>
        <v>186922.16235744039295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91656.038679462610162</v>
      </c>
      <c r="F25" s="17">
        <f>-D25*$B$10</f>
        <v>-10728.96773839863454</v>
      </c>
      <c r="G25" s="17">
        <f>-C25*$E$6</f>
        <v>-13455</v>
      </c>
      <c r="H25" s="17">
        <f>-C24*$E$7</f>
        <v>-13455</v>
      </c>
      <c r="I25" s="17">
        <f>G25+H25</f>
        <v>-26910</v>
      </c>
      <c r="J25" s="17">
        <f>E25+F25+I25</f>
        <v>54017.0709410639829</v>
      </c>
      <c r="K25" s="17">
        <f>K24+J25</f>
        <v>240939.23329850437585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21710.37375000000247</v>
      </c>
    </row>
    <row r="29" spans="1:11">
      <c r="A29" t="s">
        <v>47</v>
      </c>
      <c r="F29" s="20">
        <f>F28*1.5</f>
        <v>32565.56062500000553</v>
      </c>
    </row>
    <row r="30" spans="1:11">
      <c r="A30" t="s">
        <v>48</v>
      </c>
      <c r="F30" s="19">
        <f>E25</f>
        <v>91656.038679462610162</v>
      </c>
    </row>
    <row r="31" spans="1:11">
      <c r="A31" t="s">
        <v>49</v>
      </c>
      <c r="F31" s="19">
        <f>J25</f>
        <v>54017.0709410639829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11</v>
      </c>
      <c r="D3" s="1" t="s">
        <v>29</v>
      </c>
    </row>
    <row r="4" spans="1:11">
      <c r="A4" s="1" t="s">
        <v>22</v>
      </c>
      <c r="B4" s="12">
        <v>499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1497</v>
      </c>
    </row>
    <row r="6" spans="1:11">
      <c r="A6" s="1" t="s">
        <v>24</v>
      </c>
      <c r="B6" s="11">
        <v>10</v>
      </c>
      <c r="D6" t="s">
        <v>32</v>
      </c>
      <c r="E6" s="15">
        <f>E5*B8</f>
        <v>748.5</v>
      </c>
    </row>
    <row r="7" spans="1:11">
      <c r="A7" s="1" t="s">
        <v>25</v>
      </c>
      <c r="B7" s="11">
        <v>3</v>
      </c>
      <c r="D7" t="s">
        <v>33</v>
      </c>
      <c r="E7" s="15">
        <f>E5*(1-B8)</f>
        <v>748.5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45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14595.75</v>
      </c>
      <c r="F14" s="17">
        <f>-D14*$B$10</f>
        <v>-1316.25</v>
      </c>
      <c r="G14" s="17">
        <f>-C14*$E$6</f>
        <v>-22455</v>
      </c>
      <c r="H14" s="17">
        <v>0</v>
      </c>
      <c r="I14" s="17">
        <f>G14+H14</f>
        <v>-22455</v>
      </c>
      <c r="J14" s="17">
        <f>E14+F14+I14</f>
        <v>-9175.5</v>
      </c>
      <c r="K14" s="17">
        <f>J14</f>
        <v>-9175.5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28826.60624999999709</v>
      </c>
      <c r="F15" s="17">
        <f>-D15*$B$10</f>
        <v>-2599.59375</v>
      </c>
      <c r="G15" s="17">
        <f>-C15*$E$6</f>
        <v>-22455</v>
      </c>
      <c r="H15" s="17">
        <f>-C14*$E$7</f>
        <v>-22455</v>
      </c>
      <c r="I15" s="17">
        <f>G15+H15</f>
        <v>-44910</v>
      </c>
      <c r="J15" s="17">
        <f>E15+F15+I15</f>
        <v>-18682.98750000000291</v>
      </c>
      <c r="K15" s="17">
        <f>K14+J15</f>
        <v>-27858.48750000000291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42701.69109374999971</v>
      </c>
      <c r="F16" s="17">
        <f>-D16*$B$10</f>
        <v>-3850.85390624999945</v>
      </c>
      <c r="G16" s="17">
        <f>-C16*$E$6</f>
        <v>-22455</v>
      </c>
      <c r="H16" s="17">
        <f>-C15*$E$7</f>
        <v>-22455</v>
      </c>
      <c r="I16" s="17">
        <f>G16+H16</f>
        <v>-44910</v>
      </c>
      <c r="J16" s="17">
        <f>E16+F16+I16</f>
        <v>-6059.16281249999884</v>
      </c>
      <c r="K16" s="17">
        <f>K15+J16</f>
        <v>-33917.65031250000175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56229.89881640624662</v>
      </c>
      <c r="F17" s="17">
        <f>-D17*$B$10</f>
        <v>-5070.83255859375004</v>
      </c>
      <c r="G17" s="17">
        <f>-C17*$E$6</f>
        <v>-22455</v>
      </c>
      <c r="H17" s="17">
        <f>-C16*$E$7</f>
        <v>-22455</v>
      </c>
      <c r="I17" s="17">
        <f>G17+H17</f>
        <v>-44910</v>
      </c>
      <c r="J17" s="17">
        <f>E17+F17+I17</f>
        <v>6249.066257812497497</v>
      </c>
      <c r="K17" s="17">
        <f>K16+J17</f>
        <v>-27668.58405468750425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69419.90134599608427</v>
      </c>
      <c r="F18" s="17">
        <f>-D18*$B$10</f>
        <v>-6260.31174462890613</v>
      </c>
      <c r="G18" s="17">
        <f>-C18*$E$6</f>
        <v>-22455</v>
      </c>
      <c r="H18" s="17">
        <f>-C17*$E$7</f>
        <v>-22455</v>
      </c>
      <c r="I18" s="17">
        <f>G18+H18</f>
        <v>-44910</v>
      </c>
      <c r="J18" s="17">
        <f>E18+F18+I18</f>
        <v>18249.58960136718088</v>
      </c>
      <c r="K18" s="17">
        <f>K17+J18</f>
        <v>-9418.99445332032337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82280.15381234617962</v>
      </c>
      <c r="F19" s="17">
        <f>-D19*$B$10</f>
        <v>-7420.053951013182996</v>
      </c>
      <c r="G19" s="17">
        <f>-C19*$E$6</f>
        <v>-22455</v>
      </c>
      <c r="H19" s="17">
        <f>-C18*$E$7</f>
        <v>-22455</v>
      </c>
      <c r="I19" s="17">
        <f>G19+H19</f>
        <v>-44910</v>
      </c>
      <c r="J19" s="17">
        <f>E19+F19+I19</f>
        <v>29950.099861333001172</v>
      </c>
      <c r="K19" s="17">
        <f>K18+J19</f>
        <v>20531.1054080126778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94818.89996703753422</v>
      </c>
      <c r="F20" s="17">
        <f>-D20*$B$10</f>
        <v>-8550.80260223785262</v>
      </c>
      <c r="G20" s="17">
        <f>-C20*$E$6</f>
        <v>-22455</v>
      </c>
      <c r="H20" s="17">
        <f>-C19*$E$7</f>
        <v>-22455</v>
      </c>
      <c r="I20" s="17">
        <f>G20+H20</f>
        <v>-44910</v>
      </c>
      <c r="J20" s="17">
        <f>E20+F20+I20</f>
        <v>41358.097364799687057</v>
      </c>
      <c r="K20" s="17">
        <f>K19+J20</f>
        <v>61889.20277281236486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107044.17746786159114</v>
      </c>
      <c r="F21" s="17">
        <f>-D21*$B$10</f>
        <v>-9653.28253718190717</v>
      </c>
      <c r="G21" s="17">
        <f>-C21*$E$6</f>
        <v>-22455</v>
      </c>
      <c r="H21" s="17">
        <f>-C20*$E$7</f>
        <v>-22455</v>
      </c>
      <c r="I21" s="17">
        <f>G21+H21</f>
        <v>-44910</v>
      </c>
      <c r="J21" s="17">
        <f>E21+F21+I21</f>
        <v>52480.89493067968579</v>
      </c>
      <c r="K21" s="17">
        <f>K20+J21</f>
        <v>114370.097703492050641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118963.82303116504045</v>
      </c>
      <c r="F22" s="17">
        <f>-D22*$B$10</f>
        <v>-10728.20047375235845</v>
      </c>
      <c r="G22" s="17">
        <f>-C22*$E$6</f>
        <v>-22455</v>
      </c>
      <c r="H22" s="17">
        <f>-C21*$E$7</f>
        <v>-22455</v>
      </c>
      <c r="I22" s="17">
        <f>G22+H22</f>
        <v>-44910</v>
      </c>
      <c r="J22" s="17">
        <f>E22+F22+I22</f>
        <v>63325.62255741268746</v>
      </c>
      <c r="K22" s="17">
        <f>K21+J22</f>
        <v>177695.72026090475265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130585.47745538591698</v>
      </c>
      <c r="F23" s="17">
        <f>-D23*$B$10</f>
        <v>-11776.24546190854926</v>
      </c>
      <c r="G23" s="17">
        <f>-C23*$E$6</f>
        <v>-22455</v>
      </c>
      <c r="H23" s="17">
        <f>-C22*$E$7</f>
        <v>-22455</v>
      </c>
      <c r="I23" s="17">
        <f>G23+H23</f>
        <v>-44910</v>
      </c>
      <c r="J23" s="17">
        <f>E23+F23+I23</f>
        <v>73899.23199347736954</v>
      </c>
      <c r="K23" s="17">
        <f>K22+J23</f>
        <v>251594.95225438213674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141916.59051900127088</v>
      </c>
      <c r="F24" s="17">
        <f>-D24*$B$10</f>
        <v>-12798.089325360835574</v>
      </c>
      <c r="G24" s="17">
        <f>-C24*$E$6</f>
        <v>-22455</v>
      </c>
      <c r="H24" s="17">
        <f>-C23*$E$7</f>
        <v>-22455</v>
      </c>
      <c r="I24" s="17">
        <f>G24+H24</f>
        <v>-44910</v>
      </c>
      <c r="J24" s="17">
        <f>E24+F24+I24</f>
        <v>84208.50119364043348</v>
      </c>
      <c r="K24" s="17">
        <f>K23+J24</f>
        <v>335803.45344802259933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152964.42575602623401</v>
      </c>
      <c r="F25" s="17">
        <f>-D25*$B$10</f>
        <v>-13794.38709222681427</v>
      </c>
      <c r="G25" s="17">
        <f>-C25*$E$6</f>
        <v>-22455</v>
      </c>
      <c r="H25" s="17">
        <f>-C24*$E$7</f>
        <v>-22455</v>
      </c>
      <c r="I25" s="17">
        <f>G25+H25</f>
        <v>-44910</v>
      </c>
      <c r="J25" s="17">
        <f>E25+F25+I25</f>
        <v>94260.038663799408823</v>
      </c>
      <c r="K25" s="17">
        <f>K24+J25</f>
        <v>430063.49211182200816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33917.65031250000175</v>
      </c>
    </row>
    <row r="29" spans="1:11">
      <c r="A29" t="s">
        <v>47</v>
      </c>
      <c r="F29" s="20">
        <f>F28*1.5</f>
        <v>50876.47546875000262</v>
      </c>
    </row>
    <row r="30" spans="1:11">
      <c r="A30" t="s">
        <v>48</v>
      </c>
      <c r="F30" s="19">
        <f>E25</f>
        <v>152964.42575602623401</v>
      </c>
    </row>
    <row r="31" spans="1:11">
      <c r="A31" t="s">
        <v>49</v>
      </c>
      <c r="F31" s="19">
        <f>J25</f>
        <v>94260.038663799408823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Resumen</vt:lpstr>
      <vt:lpstr>Básico</vt:lpstr>
      <vt:lpstr>Profesional</vt:lpstr>
      <vt:lpstr>Clínica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2026-04-13T04:03:55+00:00</dcterms:created>
  <dcterms:modified xsi:type="dcterms:W3CDTF">2026-04-13T04:03:55+00:00</dcterms:modified>
  <dc:title>Untitled Spreadsheet</dc:title>
  <dc:description/>
  <dc:subject/>
  <cp:keywords/>
  <cp:category/>
</cp:coreProperties>
</file>