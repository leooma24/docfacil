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en" sheetId="1" r:id="rId4"/>
    <sheet name="Básico" sheetId="2" r:id="rId5"/>
    <sheet name="Profesional" sheetId="3" r:id="rId6"/>
    <sheet name="Clínica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<sst xmlns="http://schemas.openxmlformats.org/spreadsheetml/2006/main" uniqueCount="51">
  <si>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DocFácil — Corridas de caja del módulo de ventas</t>
  </si>
  <si>
    <t>Parámetros: 3 vendedores × 10 ventas/mes · comisión 3× split 50/50 · churn 2.5% mensual</t>
  </si>
  <si>
    <t>Plan</t>
  </si>
  <si>
    <t>Precio mensual</t>
  </si>
  <si>
    <t>Caja mínima</t>
  </si>
  <si>
    <t>Caja recomendada (+50% colchón)</t>
  </si>
  <si>
    <t>Breakeven</t>
  </si>
  <si>
    <t>Margen mensual mes 12</t>
  </si>
  <si>
    <t>Básico</t>
  </si>
  <si>
    <t>Mes 6</t>
  </si>
  <si>
    <t>Profesional</t>
  </si>
  <si>
    <t>Clínica</t>
  </si>
  <si>
    <t>NOTAS IMPORTANTES</t>
  </si>
  <si>
    <t>1. Supuestos: sin rampa de vendedores (cierran 10/mes desde el mes 1). En realidad es menos el primer mes.</t>
  </si>
  <si>
    <t>2. Costo operativo: Básico $20/cliente/mes, Profesional $30, Clínica $50 (incluye hosting, WhatsApp, email, Stripe fees).</t>
  </si>
  <si>
    <t>3. Mes 3 es siempre el peor momento: pagas la segunda mitad del cohorte 2 + la primera del cohorte 3.</t>
  </si>
  <si>
    <t>4. Breakeven cae en mes 6 en los 3 escenarios por la estructura 50/50.</t>
  </si>
  <si>
    <t>5. Si el vendedor cierra solo 5/mes en lugar de 10, multiplica todo por 0.5 (caja mínima y breakeven).</t>
  </si>
  <si>
    <t>6. Las comisiones se pagan SOLO si el cliente hace su primer pago (50%) y su segundo pago (50%). Si cancela antes de 90 días, clawback.</t>
  </si>
  <si>
    <t>7. Cada hoja tiene parámetros editables arriba. Cambia # vendedores, churn, precio, ventas/mes y todo se recalcula.</t>
  </si>
  <si>
    <t>8. MRR = Monthly Recurring Revenue = ingreso recurrente mensual por clientes activos.</t>
  </si>
  <si>
    <t>PARÁMETROS EDITABLES — cambia los valores y toda la tabla se recalcula</t>
  </si>
  <si>
    <t>Precio mensual (MXN)</t>
  </si>
  <si>
    <t># Vendedores</t>
  </si>
  <si>
    <t>Ventas/mes por vendedor</t>
  </si>
  <si>
    <t>Multiplicador comisión</t>
  </si>
  <si>
    <t>Split primera mitad (%)</t>
  </si>
  <si>
    <t>Churn mensual (%)</t>
  </si>
  <si>
    <t>Costo operativo/cliente (MXN)</t>
  </si>
  <si>
    <t>Valores derivados</t>
  </si>
  <si>
    <t>Nuevos/mes</t>
  </si>
  <si>
    <t>Comisión total/venta</t>
  </si>
  <si>
    <t>Primera mitad/venta</t>
  </si>
  <si>
    <t>Segunda mitad/venta</t>
  </si>
  <si>
    <t>Mes</t>
  </si>
  <si>
    <t>Activos inicio</t>
  </si>
  <si>
    <t>Nuevos</t>
  </si>
  <si>
    <t>Activos después churn</t>
  </si>
  <si>
    <t>Ingreso MRR</t>
  </si>
  <si>
    <t>Costo operativo</t>
  </si>
  <si>
    <t>Comisión mes 1ra</t>
  </si>
  <si>
    <t>Comisión mes 2da</t>
  </si>
  <si>
    <t>Comisión total</t>
  </si>
  <si>
    <t>Neto mes</t>
  </si>
  <si>
    <t>Acumulado</t>
  </si>
  <si>
    <t>INDICADORES CLAVE</t>
  </si>
  <si>
    <t>Caja mínima requerida (el valor más negativo del acumulado)</t>
  </si>
  <si>
    <t>Caja recomendada (mínima + 50% colchón)</t>
  </si>
  <si>
    <t>Ingreso mensual mes 12 (MRR estimado)</t>
  </si>
  <si>
    <t>Margen neto mensual mes 12</t>
  </si>
  <si>
    <t>Pro</t>
  </si>
</sst>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#,##0.0"/>
    <numFmt numFmtId="168" formatCode="&quot;$&quot;#,##0;[Red]&quot;-$&quot;#,##0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F6E56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6E56"/>
        <bgColor rgb="FF000000"/>
      </patternFill>
    </fill>
    <fill>
      <patternFill patternType="solid">
        <fgColor rgb="FFFFF59D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E1F5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5" numFmtId="164" fillId="0" borderId="1" applyFont="1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0"/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0"/>
    <xf xfId="0" fontId="0" numFmtId="165" fillId="4" borderId="1" applyFont="0" applyNumberFormat="1" applyFill="1" applyBorder="1" applyAlignment="0"/>
    <xf xfId="0" fontId="0" numFmtId="166" fillId="4" borderId="1" applyFont="0" applyNumberFormat="1" applyFill="1" applyBorder="1" applyAlignment="0"/>
    <xf xfId="0" fontId="0" numFmtId="9" fillId="4" borderId="1" applyFont="0" applyNumberFormat="1" applyFill="1" applyBorder="1" applyAlignment="0"/>
    <xf xfId="0" fontId="0" numFmtId="165" fillId="0" borderId="0" applyFont="0" applyNumberFormat="1" applyFill="0" applyBorder="0" applyAlignment="0"/>
    <xf xfId="0" fontId="0" numFmtId="167" fillId="0" borderId="1" applyFont="0" applyNumberFormat="1" applyFill="0" applyBorder="1" applyAlignment="0"/>
    <xf xfId="0" fontId="0" numFmtId="168" fillId="0" borderId="1" applyFont="0" applyNumberFormat="1" applyFill="0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0"/>
    <xf xfId="0" fontId="5" numFmtId="164" fillId="0" borderId="0" applyFont="1" applyNumberFormat="1" applyFill="0" applyBorder="0" applyAlignment="0"/>
  </cellXfs>
  <cellStyles count="1">
    <cellStyle name="Normal" xfId="0" builtinId="0"/>
  </cellStyles>
  <dxfs count="2">
    <dxf>
      <font>
        <b val="1"/>
        <color rgb="FFC62828"/>
      </font>
      <border/>
    </dxf>
    <dxf>
      <font>
        <b val="1"/>
        <color rgb="FF0F6E56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28" customWidth="true" style="0"/>
    <col min="5" max="5" width="14" customWidth="true" style="0"/>
    <col min="6" max="6" width="22" customWidth="true" style="0"/>
  </cols>
  <sheetData>
    <row r="1" spans="1:6">
      <c r="A1" s="2" t="s">
        <v>0</v>
      </c>
    </row>
    <row r="2" spans="1:6">
      <c r="A2" s="3" t="s">
        <v>1</v>
      </c>
    </row>
    <row r="4" spans="1:6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5" t="s">
        <v>8</v>
      </c>
      <c r="B5" s="6">
        <f>Básico!B4</f>
        <v>299</v>
      </c>
      <c r="C5" s="6">
        <f>Básico!F28</f>
        <v>20847.40734375000102</v>
      </c>
      <c r="D5" s="7">
        <f>Básico!F29</f>
        <v>31271.11101562499971</v>
      </c>
      <c r="E5" s="8" t="s">
        <v>9</v>
      </c>
      <c r="F5" s="6">
        <f>Básico!F31</f>
        <v>55549.78061797807459</v>
      </c>
    </row>
    <row r="6" spans="1:6">
      <c r="A6" s="5" t="s">
        <v>10</v>
      </c>
      <c r="B6" s="6">
        <f>Profesional!B4</f>
        <v>599</v>
      </c>
      <c r="C6" s="6">
        <f>Profesional!F28</f>
        <v>38295.35578125000757</v>
      </c>
      <c r="D6" s="7">
        <f>Profesional!F29</f>
        <v>57443.03367187501135</v>
      </c>
      <c r="E6" s="8" t="s">
        <v>9</v>
      </c>
      <c r="F6" s="6">
        <f>Profesional!F31</f>
        <v>117446.94187899530516</v>
      </c>
    </row>
    <row r="7" spans="1:6">
      <c r="A7" s="5" t="s">
        <v>11</v>
      </c>
      <c r="B7" s="6">
        <f>Clínica!B4</f>
        <v>1199</v>
      </c>
      <c r="C7" s="6">
        <f>Clínica!F28</f>
        <v>71465.31984375001048</v>
      </c>
      <c r="D7" s="7">
        <f>Clínica!F29</f>
        <v>107197.97976562501572</v>
      </c>
      <c r="E7" s="8" t="s">
        <v>9</v>
      </c>
      <c r="F7" s="6">
        <f>Clínica!F31</f>
        <v>244306.68375485797878</v>
      </c>
    </row>
    <row r="9" spans="1:6">
      <c r="A9" s="9" t="s">
        <v>12</v>
      </c>
    </row>
    <row r="10" spans="1:6">
      <c r="A10" t="s">
        <v>13</v>
      </c>
    </row>
    <row r="11" spans="1:6">
      <c r="A11" t="s">
        <v>14</v>
      </c>
    </row>
    <row r="12" spans="1:6">
      <c r="A12" t="s">
        <v>15</v>
      </c>
    </row>
    <row r="13" spans="1:6">
      <c r="A13" t="s">
        <v>16</v>
      </c>
    </row>
    <row r="14" spans="1:6">
      <c r="A14" t="s">
        <v>17</v>
      </c>
    </row>
    <row r="15" spans="1:6">
      <c r="A15" t="s">
        <v>18</v>
      </c>
    </row>
    <row r="16" spans="1:6">
      <c r="A16" t="s">
        <v>19</v>
      </c>
    </row>
    <row r="17" spans="1:6">
      <c r="A17" t="s">
        <v>20</v>
      </c>
    </row>
  </sheetData>
  <mergeCells>
    <mergeCell ref="A1:F1"/>
    <mergeCell ref="A2:F2"/>
    <mergeCell ref="A10:F10"/>
    <mergeCell ref="A11:F11"/>
    <mergeCell ref="A12:F12"/>
    <mergeCell ref="A13:F13"/>
    <mergeCell ref="A14:F14"/>
    <mergeCell ref="A15:F15"/>
    <mergeCell ref="A16:F16"/>
    <mergeCell ref="A17:F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1"/>
  <sheetViews>
    <sheetView tabSelected="0" workbookViewId="0" showGridLines="true" showRowColHeaders="1">
      <selection activeCell="F31" sqref="F31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2" customWidth="true" style="0"/>
    <col min="4" max="4" width="20" customWidth="true" style="0"/>
    <col min="5" max="5" width="16" customWidth="true" style="0"/>
    <col min="6" max="6" width="16" customWidth="true" style="0"/>
    <col min="7" max="7" width="18" customWidth="true" style="0"/>
    <col min="8" max="8" width="18" customWidth="true" style="0"/>
    <col min="9" max="9" width="16" customWidth="true" style="0"/>
    <col min="10" max="10" width="14" customWidth="true" style="0"/>
    <col min="11" max="11" width="16" customWidth="true" style="0"/>
  </cols>
  <sheetData>
    <row r="1" spans="1:11">
      <c r="A1" s="10" t="s">
        <v>21</v>
      </c>
    </row>
    <row r="3" spans="1:11">
      <c r="A3" s="1" t="s">
        <v>2</v>
      </c>
      <c r="B3" s="11" t="s">
        <v>8</v>
      </c>
      <c r="D3" s="1" t="s">
        <v>29</v>
      </c>
    </row>
    <row r="4" spans="1:11">
      <c r="A4" s="1" t="s">
        <v>22</v>
      </c>
      <c r="B4" s="12">
        <v>299</v>
      </c>
      <c r="D4" t="s">
        <v>30</v>
      </c>
      <c r="E4">
        <f>B5*B6</f>
        <v>30</v>
      </c>
    </row>
    <row r="5" spans="1:11">
      <c r="A5" s="1" t="s">
        <v>23</v>
      </c>
      <c r="B5" s="11">
        <v>3</v>
      </c>
      <c r="D5" t="s">
        <v>31</v>
      </c>
      <c r="E5" s="15">
        <f>B4*B7</f>
        <v>897</v>
      </c>
    </row>
    <row r="6" spans="1:11">
      <c r="A6" s="1" t="s">
        <v>24</v>
      </c>
      <c r="B6" s="11">
        <v>10</v>
      </c>
      <c r="D6" t="s">
        <v>32</v>
      </c>
      <c r="E6" s="15">
        <f>E5*B8</f>
        <v>448.5</v>
      </c>
    </row>
    <row r="7" spans="1:11">
      <c r="A7" s="1" t="s">
        <v>25</v>
      </c>
      <c r="B7" s="11">
        <v>3</v>
      </c>
      <c r="D7" t="s">
        <v>33</v>
      </c>
      <c r="E7" s="15">
        <f>E5*(1-B8)</f>
        <v>448.5</v>
      </c>
    </row>
    <row r="8" spans="1:11">
      <c r="A8" s="1" t="s">
        <v>26</v>
      </c>
      <c r="B8" s="14">
        <v>0.5</v>
      </c>
    </row>
    <row r="9" spans="1:11">
      <c r="A9" s="1" t="s">
        <v>27</v>
      </c>
      <c r="B9" s="13">
        <v>0.025</v>
      </c>
    </row>
    <row r="10" spans="1:11">
      <c r="A10" s="1" t="s">
        <v>28</v>
      </c>
      <c r="B10" s="12">
        <v>30</v>
      </c>
    </row>
    <row r="13" spans="1:11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43</v>
      </c>
      <c r="K13" s="4" t="s">
        <v>44</v>
      </c>
    </row>
    <row r="14" spans="1:11">
      <c r="A14" s="5">
        <v>1</v>
      </c>
      <c r="B14" s="16">
        <v>0</v>
      </c>
      <c r="C14" s="16">
        <f>$E$4</f>
        <v>30</v>
      </c>
      <c r="D14" s="16">
        <f>(B14+C14)*(1-$B$9)</f>
        <v>29.25</v>
      </c>
      <c r="E14" s="17">
        <f>D14*$B$4</f>
        <v>8745.75</v>
      </c>
      <c r="F14" s="17">
        <f>-D14*$B$10</f>
        <v>-877.5</v>
      </c>
      <c r="G14" s="17">
        <f>-C14*$E$6</f>
        <v>-13455</v>
      </c>
      <c r="H14" s="17">
        <v>0</v>
      </c>
      <c r="I14" s="17">
        <f>G14+H14</f>
        <v>-13455</v>
      </c>
      <c r="J14" s="17">
        <f>E14+F14+I14</f>
        <v>-5586.75</v>
      </c>
      <c r="K14" s="17">
        <f>J14</f>
        <v>-5586.75</v>
      </c>
    </row>
    <row r="15" spans="1:11">
      <c r="A15" s="5">
        <v>2</v>
      </c>
      <c r="B15" s="16">
        <f>D14</f>
        <v>29.25</v>
      </c>
      <c r="C15" s="16">
        <f>$E$4</f>
        <v>30</v>
      </c>
      <c r="D15" s="16">
        <f>(B15+C15)*(1-$B$9)</f>
        <v>57.76875</v>
      </c>
      <c r="E15" s="17">
        <f>D15*$B$4</f>
        <v>17272.85625000000073</v>
      </c>
      <c r="F15" s="17">
        <f>-D15*$B$10</f>
        <v>-1733.0625</v>
      </c>
      <c r="G15" s="17">
        <f>-C15*$E$6</f>
        <v>-13455</v>
      </c>
      <c r="H15" s="17">
        <f>-C14*$E$7</f>
        <v>-13455</v>
      </c>
      <c r="I15" s="17">
        <f>G15+H15</f>
        <v>-26910</v>
      </c>
      <c r="J15" s="17">
        <f>E15+F15+I15</f>
        <v>-11370.20624999999927</v>
      </c>
      <c r="K15" s="17">
        <f>K14+J15</f>
        <v>-16956.95624999999927</v>
      </c>
    </row>
    <row r="16" spans="1:11">
      <c r="A16" s="5">
        <v>3</v>
      </c>
      <c r="B16" s="16">
        <f>D15</f>
        <v>57.76875</v>
      </c>
      <c r="C16" s="16">
        <f>$E$4</f>
        <v>30</v>
      </c>
      <c r="D16" s="16">
        <f>(B16+C16)*(1-$B$9)</f>
        <v>85.57453124999999</v>
      </c>
      <c r="E16" s="17">
        <f>D16*$B$4</f>
        <v>25586.78484374999607</v>
      </c>
      <c r="F16" s="17">
        <f>-D16*$B$10</f>
        <v>-2567.23593749999964</v>
      </c>
      <c r="G16" s="17">
        <f>-C16*$E$6</f>
        <v>-13455</v>
      </c>
      <c r="H16" s="17">
        <f>-C15*$E$7</f>
        <v>-13455</v>
      </c>
      <c r="I16" s="17">
        <f>G16+H16</f>
        <v>-26910</v>
      </c>
      <c r="J16" s="17">
        <f>E16+F16+I16</f>
        <v>-3890.45109375000175</v>
      </c>
      <c r="K16" s="17">
        <f>K15+J16</f>
        <v>-20847.40734375000102</v>
      </c>
    </row>
    <row r="17" spans="1:11">
      <c r="A17" s="5">
        <v>4</v>
      </c>
      <c r="B17" s="16">
        <f>D16</f>
        <v>85.57453124999999</v>
      </c>
      <c r="C17" s="16">
        <f>$E$4</f>
        <v>30</v>
      </c>
      <c r="D17" s="16">
        <f>(B17+C17)*(1-$B$9)</f>
        <v>112.68516796874999</v>
      </c>
      <c r="E17" s="17">
        <f>D17*$B$4</f>
        <v>33692.86522265624808</v>
      </c>
      <c r="F17" s="17">
        <f>-D17*$B$10</f>
        <v>-3380.55503906249987</v>
      </c>
      <c r="G17" s="17">
        <f>-C17*$E$6</f>
        <v>-13455</v>
      </c>
      <c r="H17" s="17">
        <f>-C16*$E$7</f>
        <v>-13455</v>
      </c>
      <c r="I17" s="17">
        <f>G17+H17</f>
        <v>-26910</v>
      </c>
      <c r="J17" s="17">
        <f>E17+F17+I17</f>
        <v>3402.31018359374866</v>
      </c>
      <c r="K17" s="17">
        <f>K16+J17</f>
        <v>-17445.097160156252357</v>
      </c>
    </row>
    <row r="18" spans="1:11">
      <c r="A18" s="5">
        <v>5</v>
      </c>
      <c r="B18" s="16">
        <f>D17</f>
        <v>112.68516796874999</v>
      </c>
      <c r="C18" s="16">
        <f>$E$4</f>
        <v>30</v>
      </c>
      <c r="D18" s="16">
        <f>(B18+C18)*(1-$B$9)</f>
        <v>139.11803876953124</v>
      </c>
      <c r="E18" s="17">
        <f>D18*$B$4</f>
        <v>41596.29359208983806</v>
      </c>
      <c r="F18" s="17">
        <f>-D18*$B$10</f>
        <v>-4173.54116308593711</v>
      </c>
      <c r="G18" s="17">
        <f>-C18*$E$6</f>
        <v>-13455</v>
      </c>
      <c r="H18" s="17">
        <f>-C17*$E$7</f>
        <v>-13455</v>
      </c>
      <c r="I18" s="17">
        <f>G18+H18</f>
        <v>-26910</v>
      </c>
      <c r="J18" s="17">
        <f>E18+F18+I18</f>
        <v>10512.75242900390003</v>
      </c>
      <c r="K18" s="17">
        <f>K17+J18</f>
        <v>-6932.34473115235232</v>
      </c>
    </row>
    <row r="19" spans="1:11">
      <c r="A19" s="5">
        <v>6</v>
      </c>
      <c r="B19" s="16">
        <f>D18</f>
        <v>139.11803876953124</v>
      </c>
      <c r="C19" s="16">
        <f>$E$4</f>
        <v>30</v>
      </c>
      <c r="D19" s="16">
        <f>(B19+C19)*(1-$B$9)</f>
        <v>164.89008780029295</v>
      </c>
      <c r="E19" s="17">
        <f>D19*$B$4</f>
        <v>49302.13625228759338</v>
      </c>
      <c r="F19" s="17">
        <f>-D19*$B$10</f>
        <v>-4946.70263400878866</v>
      </c>
      <c r="G19" s="17">
        <f>-C19*$E$6</f>
        <v>-13455</v>
      </c>
      <c r="H19" s="17">
        <f>-C18*$E$7</f>
        <v>-13455</v>
      </c>
      <c r="I19" s="17">
        <f>G19+H19</f>
        <v>-26910</v>
      </c>
      <c r="J19" s="17">
        <f>E19+F19+I19</f>
        <v>17445.4336182788029</v>
      </c>
      <c r="K19" s="17">
        <f>K18+J19</f>
        <v>10513.088887126450572</v>
      </c>
    </row>
    <row r="20" spans="1:11">
      <c r="A20" s="5">
        <v>7</v>
      </c>
      <c r="B20" s="16">
        <f>D19</f>
        <v>164.89008780029295</v>
      </c>
      <c r="C20" s="16">
        <f>$E$4</f>
        <v>30</v>
      </c>
      <c r="D20" s="16">
        <f>(B20+C20)*(1-$B$9)</f>
        <v>190.017835605285626</v>
      </c>
      <c r="E20" s="17">
        <f>D20*$B$4</f>
        <v>56815.33284598040336</v>
      </c>
      <c r="F20" s="17">
        <f>-D20*$B$10</f>
        <v>-5700.53506815856872</v>
      </c>
      <c r="G20" s="17">
        <f>-C20*$E$6</f>
        <v>-13455</v>
      </c>
      <c r="H20" s="17">
        <f>-C19*$E$7</f>
        <v>-13455</v>
      </c>
      <c r="I20" s="17">
        <f>G20+H20</f>
        <v>-26910</v>
      </c>
      <c r="J20" s="17">
        <f>E20+F20+I20</f>
        <v>24204.79777782183373</v>
      </c>
      <c r="K20" s="17">
        <f>K19+J20</f>
        <v>34717.88666494828067</v>
      </c>
    </row>
    <row r="21" spans="1:11">
      <c r="A21" s="5">
        <v>8</v>
      </c>
      <c r="B21" s="16">
        <f>D20</f>
        <v>190.017835605285626</v>
      </c>
      <c r="C21" s="16">
        <f>$E$4</f>
        <v>30</v>
      </c>
      <c r="D21" s="16">
        <f>(B21+C21)*(1-$B$9)</f>
        <v>214.51738971515348</v>
      </c>
      <c r="E21" s="17">
        <f>D21*$B$4</f>
        <v>64140.69952483088855</v>
      </c>
      <c r="F21" s="17">
        <f>-D21*$B$10</f>
        <v>-6435.52169145460448</v>
      </c>
      <c r="G21" s="17">
        <f>-C21*$E$6</f>
        <v>-13455</v>
      </c>
      <c r="H21" s="17">
        <f>-C20*$E$7</f>
        <v>-13455</v>
      </c>
      <c r="I21" s="17">
        <f>G21+H21</f>
        <v>-26910</v>
      </c>
      <c r="J21" s="17">
        <f>E21+F21+I21</f>
        <v>30795.17783337628498</v>
      </c>
      <c r="K21" s="17">
        <f>K20+J21</f>
        <v>65513.064498324565648</v>
      </c>
    </row>
    <row r="22" spans="1:11">
      <c r="A22" s="5">
        <v>9</v>
      </c>
      <c r="B22" s="16">
        <f>D21</f>
        <v>214.51738971515348</v>
      </c>
      <c r="C22" s="16">
        <f>$E$4</f>
        <v>30</v>
      </c>
      <c r="D22" s="16">
        <f>(B22+C22)*(1-$B$9)</f>
        <v>238.40445497227464</v>
      </c>
      <c r="E22" s="17">
        <f>D22*$B$4</f>
        <v>71282.93203671011725</v>
      </c>
      <c r="F22" s="17">
        <f>-D22*$B$10</f>
        <v>-7152.13364916823866</v>
      </c>
      <c r="G22" s="17">
        <f>-C22*$E$6</f>
        <v>-13455</v>
      </c>
      <c r="H22" s="17">
        <f>-C21*$E$7</f>
        <v>-13455</v>
      </c>
      <c r="I22" s="17">
        <f>G22+H22</f>
        <v>-26910</v>
      </c>
      <c r="J22" s="17">
        <f>E22+F22+I22</f>
        <v>37220.79838754187949</v>
      </c>
      <c r="K22" s="17">
        <f>K21+J22</f>
        <v>102733.86288586644514</v>
      </c>
    </row>
    <row r="23" spans="1:11">
      <c r="A23" s="5">
        <v>10</v>
      </c>
      <c r="B23" s="16">
        <f>D22</f>
        <v>238.40445497227464</v>
      </c>
      <c r="C23" s="16">
        <f>$E$4</f>
        <v>30</v>
      </c>
      <c r="D23" s="16">
        <f>(B23+C23)*(1-$B$9)</f>
        <v>261.69434359796776</v>
      </c>
      <c r="E23" s="17">
        <f>D23*$B$4</f>
        <v>78246.6087357923534</v>
      </c>
      <c r="F23" s="17">
        <f>-D23*$B$10</f>
        <v>-7850.83030793903254</v>
      </c>
      <c r="G23" s="17">
        <f>-C23*$E$6</f>
        <v>-13455</v>
      </c>
      <c r="H23" s="17">
        <f>-C22*$E$7</f>
        <v>-13455</v>
      </c>
      <c r="I23" s="17">
        <f>G23+H23</f>
        <v>-26910</v>
      </c>
      <c r="J23" s="17">
        <f>E23+F23+I23</f>
        <v>43485.77842785332177</v>
      </c>
      <c r="K23" s="17">
        <f>K22+J23</f>
        <v>146219.64131371976691</v>
      </c>
    </row>
    <row r="24" spans="1:11">
      <c r="A24" s="5">
        <v>11</v>
      </c>
      <c r="B24" s="16">
        <f>D23</f>
        <v>261.69434359796776</v>
      </c>
      <c r="C24" s="16">
        <f>$E$4</f>
        <v>30</v>
      </c>
      <c r="D24" s="16">
        <f>(B24+C24)*(1-$B$9)</f>
        <v>284.40198500801858</v>
      </c>
      <c r="E24" s="17">
        <f>D24*$B$4</f>
        <v>85036.19351739755075</v>
      </c>
      <c r="F24" s="17">
        <f>-D24*$B$10</f>
        <v>-8532.059550240557655</v>
      </c>
      <c r="G24" s="17">
        <f>-C24*$E$6</f>
        <v>-13455</v>
      </c>
      <c r="H24" s="17">
        <f>-C23*$E$7</f>
        <v>-13455</v>
      </c>
      <c r="I24" s="17">
        <f>G24+H24</f>
        <v>-26910</v>
      </c>
      <c r="J24" s="17">
        <f>E24+F24+I24</f>
        <v>49594.13396715698764</v>
      </c>
      <c r="K24" s="17">
        <f>K23+J24</f>
        <v>195813.77528087675455</v>
      </c>
    </row>
    <row r="25" spans="1:11">
      <c r="A25" s="5">
        <v>12</v>
      </c>
      <c r="B25" s="16">
        <f>D24</f>
        <v>284.40198500801858</v>
      </c>
      <c r="C25" s="16">
        <f>$E$4</f>
        <v>30</v>
      </c>
      <c r="D25" s="16">
        <f>(B25+C25)*(1-$B$9)</f>
        <v>306.54193538281811</v>
      </c>
      <c r="E25" s="17">
        <f>D25*$B$4</f>
        <v>91656.038679462610162</v>
      </c>
      <c r="F25" s="17">
        <f>-D25*$B$10</f>
        <v>-9196.25806148454285</v>
      </c>
      <c r="G25" s="17">
        <f>-C25*$E$6</f>
        <v>-13455</v>
      </c>
      <c r="H25" s="17">
        <f>-C24*$E$7</f>
        <v>-13455</v>
      </c>
      <c r="I25" s="17">
        <f>G25+H25</f>
        <v>-26910</v>
      </c>
      <c r="J25" s="17">
        <f>E25+F25+I25</f>
        <v>55549.78061797807459</v>
      </c>
      <c r="K25" s="17">
        <f>K24+J25</f>
        <v>251363.55589885482914</v>
      </c>
    </row>
    <row r="27" spans="1:11">
      <c r="A27" s="18" t="s">
        <v>45</v>
      </c>
    </row>
    <row r="28" spans="1:11">
      <c r="A28" t="s">
        <v>46</v>
      </c>
      <c r="F28" s="19">
        <f>ABS(MIN(K14:K25))</f>
        <v>20847.40734375000102</v>
      </c>
    </row>
    <row r="29" spans="1:11">
      <c r="A29" t="s">
        <v>47</v>
      </c>
      <c r="F29" s="20">
        <f>F28*1.5</f>
        <v>31271.11101562499971</v>
      </c>
    </row>
    <row r="30" spans="1:11">
      <c r="A30" t="s">
        <v>48</v>
      </c>
      <c r="F30" s="19">
        <f>E25</f>
        <v>91656.038679462610162</v>
      </c>
    </row>
    <row r="31" spans="1:11">
      <c r="A31" t="s">
        <v>49</v>
      </c>
      <c r="F31" s="19">
        <f>J25</f>
        <v>55549.78061797807459</v>
      </c>
    </row>
  </sheetData>
  <mergeCells>
    <mergeCell ref="A1:H1"/>
    <mergeCell ref="A27:K27"/>
  </mergeCells>
  <conditionalFormatting sqref="K14:K25">
    <cfRule type="cellIs" dxfId="0" priority="1" operator="lessThan">
      <formula>0</formula>
    </cfRule>
    <cfRule type="cellIs" dxfId="1" priority="2" operator="greaterThanOr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1"/>
  <sheetViews>
    <sheetView tabSelected="0" workbookViewId="0" showGridLines="true" showRowColHeaders="1">
      <selection activeCell="F31" sqref="F31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2" customWidth="true" style="0"/>
    <col min="4" max="4" width="20" customWidth="true" style="0"/>
    <col min="5" max="5" width="16" customWidth="true" style="0"/>
    <col min="6" max="6" width="16" customWidth="true" style="0"/>
    <col min="7" max="7" width="18" customWidth="true" style="0"/>
    <col min="8" max="8" width="18" customWidth="true" style="0"/>
    <col min="9" max="9" width="16" customWidth="true" style="0"/>
    <col min="10" max="10" width="14" customWidth="true" style="0"/>
    <col min="11" max="11" width="16" customWidth="true" style="0"/>
  </cols>
  <sheetData>
    <row r="1" spans="1:11">
      <c r="A1" s="10" t="s">
        <v>21</v>
      </c>
    </row>
    <row r="3" spans="1:11">
      <c r="A3" s="1" t="s">
        <v>2</v>
      </c>
      <c r="B3" s="11" t="s">
        <v>50</v>
      </c>
      <c r="D3" s="1" t="s">
        <v>29</v>
      </c>
    </row>
    <row r="4" spans="1:11">
      <c r="A4" s="1" t="s">
        <v>22</v>
      </c>
      <c r="B4" s="12">
        <v>599</v>
      </c>
      <c r="D4" t="s">
        <v>30</v>
      </c>
      <c r="E4">
        <f>B5*B6</f>
        <v>30</v>
      </c>
    </row>
    <row r="5" spans="1:11">
      <c r="A5" s="1" t="s">
        <v>23</v>
      </c>
      <c r="B5" s="11">
        <v>3</v>
      </c>
      <c r="D5" t="s">
        <v>31</v>
      </c>
      <c r="E5" s="15">
        <f>B4*B7</f>
        <v>1797</v>
      </c>
    </row>
    <row r="6" spans="1:11">
      <c r="A6" s="1" t="s">
        <v>24</v>
      </c>
      <c r="B6" s="11">
        <v>10</v>
      </c>
      <c r="D6" t="s">
        <v>32</v>
      </c>
      <c r="E6" s="15">
        <f>E5*B8</f>
        <v>898.5</v>
      </c>
    </row>
    <row r="7" spans="1:11">
      <c r="A7" s="1" t="s">
        <v>25</v>
      </c>
      <c r="B7" s="11">
        <v>3</v>
      </c>
      <c r="D7" t="s">
        <v>33</v>
      </c>
      <c r="E7" s="15">
        <f>E5*(1-B8)</f>
        <v>898.5</v>
      </c>
    </row>
    <row r="8" spans="1:11">
      <c r="A8" s="1" t="s">
        <v>26</v>
      </c>
      <c r="B8" s="14">
        <v>0.5</v>
      </c>
    </row>
    <row r="9" spans="1:11">
      <c r="A9" s="1" t="s">
        <v>27</v>
      </c>
      <c r="B9" s="13">
        <v>0.025</v>
      </c>
    </row>
    <row r="10" spans="1:11">
      <c r="A10" s="1" t="s">
        <v>28</v>
      </c>
      <c r="B10" s="12">
        <v>40</v>
      </c>
    </row>
    <row r="13" spans="1:11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43</v>
      </c>
      <c r="K13" s="4" t="s">
        <v>44</v>
      </c>
    </row>
    <row r="14" spans="1:11">
      <c r="A14" s="5">
        <v>1</v>
      </c>
      <c r="B14" s="16">
        <v>0</v>
      </c>
      <c r="C14" s="16">
        <f>$E$4</f>
        <v>30</v>
      </c>
      <c r="D14" s="16">
        <f>(B14+C14)*(1-$B$9)</f>
        <v>29.25</v>
      </c>
      <c r="E14" s="17">
        <f>D14*$B$4</f>
        <v>17520.75</v>
      </c>
      <c r="F14" s="17">
        <f>-D14*$B$10</f>
        <v>-1170</v>
      </c>
      <c r="G14" s="17">
        <f>-C14*$E$6</f>
        <v>-26955</v>
      </c>
      <c r="H14" s="17">
        <v>0</v>
      </c>
      <c r="I14" s="17">
        <f>G14+H14</f>
        <v>-26955</v>
      </c>
      <c r="J14" s="17">
        <f>E14+F14+I14</f>
        <v>-10604.25</v>
      </c>
      <c r="K14" s="17">
        <f>J14</f>
        <v>-10604.25</v>
      </c>
    </row>
    <row r="15" spans="1:11">
      <c r="A15" s="5">
        <v>2</v>
      </c>
      <c r="B15" s="16">
        <f>D14</f>
        <v>29.25</v>
      </c>
      <c r="C15" s="16">
        <f>$E$4</f>
        <v>30</v>
      </c>
      <c r="D15" s="16">
        <f>(B15+C15)*(1-$B$9)</f>
        <v>57.76875</v>
      </c>
      <c r="E15" s="17">
        <f>D15*$B$4</f>
        <v>34603.48124999999709</v>
      </c>
      <c r="F15" s="17">
        <f>-D15*$B$10</f>
        <v>-2310.75</v>
      </c>
      <c r="G15" s="17">
        <f>-C15*$E$6</f>
        <v>-26955</v>
      </c>
      <c r="H15" s="17">
        <f>-C14*$E$7</f>
        <v>-26955</v>
      </c>
      <c r="I15" s="17">
        <f>G15+H15</f>
        <v>-53910</v>
      </c>
      <c r="J15" s="17">
        <f>E15+F15+I15</f>
        <v>-21617.26875000000291</v>
      </c>
      <c r="K15" s="17">
        <f>K14+J15</f>
        <v>-32221.51875000000291</v>
      </c>
    </row>
    <row r="16" spans="1:11">
      <c r="A16" s="5">
        <v>3</v>
      </c>
      <c r="B16" s="16">
        <f>D15</f>
        <v>57.76875</v>
      </c>
      <c r="C16" s="16">
        <f>$E$4</f>
        <v>30</v>
      </c>
      <c r="D16" s="16">
        <f>(B16+C16)*(1-$B$9)</f>
        <v>85.57453124999999</v>
      </c>
      <c r="E16" s="17">
        <f>D16*$B$4</f>
        <v>51259.14421874999243</v>
      </c>
      <c r="F16" s="17">
        <f>-D16*$B$10</f>
        <v>-3422.98124999999982</v>
      </c>
      <c r="G16" s="17">
        <f>-C16*$E$6</f>
        <v>-26955</v>
      </c>
      <c r="H16" s="17">
        <f>-C15*$E$7</f>
        <v>-26955</v>
      </c>
      <c r="I16" s="17">
        <f>G16+H16</f>
        <v>-53910</v>
      </c>
      <c r="J16" s="17">
        <f>E16+F16+I16</f>
        <v>-6073.83703125000466</v>
      </c>
      <c r="K16" s="17">
        <f>K15+J16</f>
        <v>-38295.35578125000757</v>
      </c>
    </row>
    <row r="17" spans="1:11">
      <c r="A17" s="5">
        <v>4</v>
      </c>
      <c r="B17" s="16">
        <f>D16</f>
        <v>85.57453124999999</v>
      </c>
      <c r="C17" s="16">
        <f>$E$4</f>
        <v>30</v>
      </c>
      <c r="D17" s="16">
        <f>(B17+C17)*(1-$B$9)</f>
        <v>112.68516796874999</v>
      </c>
      <c r="E17" s="17">
        <f>D17*$B$4</f>
        <v>67498.41561328124953</v>
      </c>
      <c r="F17" s="17">
        <f>-D17*$B$10</f>
        <v>-4507.40671874999953</v>
      </c>
      <c r="G17" s="17">
        <f>-C17*$E$6</f>
        <v>-26955</v>
      </c>
      <c r="H17" s="17">
        <f>-C16*$E$7</f>
        <v>-26955</v>
      </c>
      <c r="I17" s="17">
        <f>G17+H17</f>
        <v>-53910</v>
      </c>
      <c r="J17" s="17">
        <f>E17+F17+I17</f>
        <v>9081.0088945312527358</v>
      </c>
      <c r="K17" s="17">
        <f>K16+J17</f>
        <v>-29214.34688671875483</v>
      </c>
    </row>
    <row r="18" spans="1:11">
      <c r="A18" s="5">
        <v>5</v>
      </c>
      <c r="B18" s="16">
        <f>D17</f>
        <v>112.68516796874999</v>
      </c>
      <c r="C18" s="16">
        <f>$E$4</f>
        <v>30</v>
      </c>
      <c r="D18" s="16">
        <f>(B18+C18)*(1-$B$9)</f>
        <v>139.11803876953124</v>
      </c>
      <c r="E18" s="17">
        <f>D18*$B$4</f>
        <v>83331.70522294921102</v>
      </c>
      <c r="F18" s="17">
        <f>-D18*$B$10</f>
        <v>-5564.72155078124979</v>
      </c>
      <c r="G18" s="17">
        <f>-C18*$E$6</f>
        <v>-26955</v>
      </c>
      <c r="H18" s="17">
        <f>-C17*$E$7</f>
        <v>-26955</v>
      </c>
      <c r="I18" s="17">
        <f>G18+H18</f>
        <v>-53910</v>
      </c>
      <c r="J18" s="17">
        <f>E18+F18+I18</f>
        <v>23856.98367216796032</v>
      </c>
      <c r="K18" s="17">
        <f>K17+J18</f>
        <v>-5357.36321455079451</v>
      </c>
    </row>
    <row r="19" spans="1:11">
      <c r="A19" s="5">
        <v>6</v>
      </c>
      <c r="B19" s="16">
        <f>D18</f>
        <v>139.11803876953124</v>
      </c>
      <c r="C19" s="16">
        <f>$E$4</f>
        <v>30</v>
      </c>
      <c r="D19" s="16">
        <f>(B19+C19)*(1-$B$9)</f>
        <v>164.89008780029295</v>
      </c>
      <c r="E19" s="17">
        <f>D19*$B$4</f>
        <v>98769.16259237547638</v>
      </c>
      <c r="F19" s="17">
        <f>-D19*$B$10</f>
        <v>-6595.60351201171761</v>
      </c>
      <c r="G19" s="17">
        <f>-C19*$E$6</f>
        <v>-26955</v>
      </c>
      <c r="H19" s="17">
        <f>-C18*$E$7</f>
        <v>-26955</v>
      </c>
      <c r="I19" s="17">
        <f>G19+H19</f>
        <v>-53910</v>
      </c>
      <c r="J19" s="17">
        <f>E19+F19+I19</f>
        <v>38263.55908036376059</v>
      </c>
      <c r="K19" s="17">
        <f>K18+J19</f>
        <v>32906.19586581296608</v>
      </c>
    </row>
    <row r="20" spans="1:11">
      <c r="A20" s="5">
        <v>7</v>
      </c>
      <c r="B20" s="16">
        <f>D19</f>
        <v>164.89008780029295</v>
      </c>
      <c r="C20" s="16">
        <f>$E$4</f>
        <v>30</v>
      </c>
      <c r="D20" s="16">
        <f>(B20+C20)*(1-$B$9)</f>
        <v>190.017835605285626</v>
      </c>
      <c r="E20" s="17">
        <f>D20*$B$4</f>
        <v>113820.6835275660851</v>
      </c>
      <c r="F20" s="17">
        <f>-D20*$B$10</f>
        <v>-7600.71342421142526</v>
      </c>
      <c r="G20" s="17">
        <f>-C20*$E$6</f>
        <v>-26955</v>
      </c>
      <c r="H20" s="17">
        <f>-C19*$E$7</f>
        <v>-26955</v>
      </c>
      <c r="I20" s="17">
        <f>G20+H20</f>
        <v>-53910</v>
      </c>
      <c r="J20" s="17">
        <f>E20+F20+I20</f>
        <v>52309.97010335465893</v>
      </c>
      <c r="K20" s="17">
        <f>K19+J20</f>
        <v>85216.16596916763228</v>
      </c>
    </row>
    <row r="21" spans="1:11">
      <c r="A21" s="5">
        <v>8</v>
      </c>
      <c r="B21" s="16">
        <f>D20</f>
        <v>190.017835605285626</v>
      </c>
      <c r="C21" s="16">
        <f>$E$4</f>
        <v>30</v>
      </c>
      <c r="D21" s="16">
        <f>(B21+C21)*(1-$B$9)</f>
        <v>214.51738971515348</v>
      </c>
      <c r="E21" s="17">
        <f>D21*$B$4</f>
        <v>128495.91643937693152</v>
      </c>
      <c r="F21" s="17">
        <f>-D21*$B$10</f>
        <v>-8580.6955886061387</v>
      </c>
      <c r="G21" s="17">
        <f>-C21*$E$6</f>
        <v>-26955</v>
      </c>
      <c r="H21" s="17">
        <f>-C20*$E$7</f>
        <v>-26955</v>
      </c>
      <c r="I21" s="17">
        <f>G21+H21</f>
        <v>-53910</v>
      </c>
      <c r="J21" s="17">
        <f>E21+F21+I21</f>
        <v>66005.22085077079828</v>
      </c>
      <c r="K21" s="17">
        <f>K20+J21</f>
        <v>151221.38681993843056</v>
      </c>
    </row>
    <row r="22" spans="1:11">
      <c r="A22" s="5">
        <v>9</v>
      </c>
      <c r="B22" s="16">
        <f>D21</f>
        <v>214.51738971515348</v>
      </c>
      <c r="C22" s="16">
        <f>$E$4</f>
        <v>30</v>
      </c>
      <c r="D22" s="16">
        <f>(B22+C22)*(1-$B$9)</f>
        <v>238.40445497227464</v>
      </c>
      <c r="E22" s="17">
        <f>D22*$B$4</f>
        <v>142804.26852839250932</v>
      </c>
      <c r="F22" s="17">
        <f>-D22*$B$10</f>
        <v>-9536.1781988909861</v>
      </c>
      <c r="G22" s="17">
        <f>-C22*$E$6</f>
        <v>-26955</v>
      </c>
      <c r="H22" s="17">
        <f>-C21*$E$7</f>
        <v>-26955</v>
      </c>
      <c r="I22" s="17">
        <f>G22+H22</f>
        <v>-53910</v>
      </c>
      <c r="J22" s="17">
        <f>E22+F22+I22</f>
        <v>79358.090329501515953</v>
      </c>
      <c r="K22" s="17">
        <f>K21+J22</f>
        <v>230579.47714943994652</v>
      </c>
    </row>
    <row r="23" spans="1:11">
      <c r="A23" s="5">
        <v>10</v>
      </c>
      <c r="B23" s="16">
        <f>D22</f>
        <v>238.40445497227464</v>
      </c>
      <c r="C23" s="16">
        <f>$E$4</f>
        <v>30</v>
      </c>
      <c r="D23" s="16">
        <f>(B23+C23)*(1-$B$9)</f>
        <v>261.69434359796776</v>
      </c>
      <c r="E23" s="17">
        <f>D23*$B$4</f>
        <v>156754.91181518268422</v>
      </c>
      <c r="F23" s="17">
        <f>-D23*$B$10</f>
        <v>-10467.77374391871126</v>
      </c>
      <c r="G23" s="17">
        <f>-C23*$E$6</f>
        <v>-26955</v>
      </c>
      <c r="H23" s="17">
        <f>-C22*$E$7</f>
        <v>-26955</v>
      </c>
      <c r="I23" s="17">
        <f>G23+H23</f>
        <v>-53910</v>
      </c>
      <c r="J23" s="17">
        <f>E23+F23+I23</f>
        <v>92377.13807126396568</v>
      </c>
      <c r="K23" s="17">
        <f>K22+J23</f>
        <v>322956.6152207038831</v>
      </c>
    </row>
    <row r="24" spans="1:11">
      <c r="A24" s="5">
        <v>11</v>
      </c>
      <c r="B24" s="16">
        <f>D23</f>
        <v>261.69434359796776</v>
      </c>
      <c r="C24" s="16">
        <f>$E$4</f>
        <v>30</v>
      </c>
      <c r="D24" s="16">
        <f>(B24+C24)*(1-$B$9)</f>
        <v>284.40198500801858</v>
      </c>
      <c r="E24" s="17">
        <f>D24*$B$4</f>
        <v>170356.78901980313822</v>
      </c>
      <c r="F24" s="17">
        <f>-D24*$B$10</f>
        <v>-11376.079400320742934</v>
      </c>
      <c r="G24" s="17">
        <f>-C24*$E$6</f>
        <v>-26955</v>
      </c>
      <c r="H24" s="17">
        <f>-C23*$E$7</f>
        <v>-26955</v>
      </c>
      <c r="I24" s="17">
        <f>G24+H24</f>
        <v>-53910</v>
      </c>
      <c r="J24" s="17">
        <f>E24+F24+I24</f>
        <v>105070.7096194823971</v>
      </c>
      <c r="K24" s="17">
        <f>K23+J24</f>
        <v>428027.3248401862802</v>
      </c>
    </row>
    <row r="25" spans="1:11">
      <c r="A25" s="5">
        <v>12</v>
      </c>
      <c r="B25" s="16">
        <f>D24</f>
        <v>284.40198500801858</v>
      </c>
      <c r="C25" s="16">
        <f>$E$4</f>
        <v>30</v>
      </c>
      <c r="D25" s="16">
        <f>(B25+C25)*(1-$B$9)</f>
        <v>306.54193538281811</v>
      </c>
      <c r="E25" s="17">
        <f>D25*$B$4</f>
        <v>183618.61929430803866</v>
      </c>
      <c r="F25" s="17">
        <f>-D25*$B$10</f>
        <v>-12261.67741531272441</v>
      </c>
      <c r="G25" s="17">
        <f>-C25*$E$6</f>
        <v>-26955</v>
      </c>
      <c r="H25" s="17">
        <f>-C24*$E$7</f>
        <v>-26955</v>
      </c>
      <c r="I25" s="17">
        <f>G25+H25</f>
        <v>-53910</v>
      </c>
      <c r="J25" s="17">
        <f>E25+F25+I25</f>
        <v>117446.94187899530516</v>
      </c>
      <c r="K25" s="17">
        <f>K24+J25</f>
        <v>545474.26671918155625</v>
      </c>
    </row>
    <row r="27" spans="1:11">
      <c r="A27" s="18" t="s">
        <v>45</v>
      </c>
    </row>
    <row r="28" spans="1:11">
      <c r="A28" t="s">
        <v>46</v>
      </c>
      <c r="F28" s="19">
        <f>ABS(MIN(K14:K25))</f>
        <v>38295.35578125000757</v>
      </c>
    </row>
    <row r="29" spans="1:11">
      <c r="A29" t="s">
        <v>47</v>
      </c>
      <c r="F29" s="20">
        <f>F28*1.5</f>
        <v>57443.03367187501135</v>
      </c>
    </row>
    <row r="30" spans="1:11">
      <c r="A30" t="s">
        <v>48</v>
      </c>
      <c r="F30" s="19">
        <f>E25</f>
        <v>183618.61929430803866</v>
      </c>
    </row>
    <row r="31" spans="1:11">
      <c r="A31" t="s">
        <v>49</v>
      </c>
      <c r="F31" s="19">
        <f>J25</f>
        <v>117446.94187899530516</v>
      </c>
    </row>
  </sheetData>
  <mergeCells>
    <mergeCell ref="A1:H1"/>
    <mergeCell ref="A27:K27"/>
  </mergeCells>
  <conditionalFormatting sqref="K14:K25">
    <cfRule type="cellIs" dxfId="0" priority="1" operator="lessThan">
      <formula>0</formula>
    </cfRule>
    <cfRule type="cellIs" dxfId="1" priority="2" operator="greaterThanOr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1"/>
  <sheetViews>
    <sheetView tabSelected="0" workbookViewId="0" showGridLines="true" showRowColHeaders="1">
      <selection activeCell="F31" sqref="F31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2" customWidth="true" style="0"/>
    <col min="4" max="4" width="20" customWidth="true" style="0"/>
    <col min="5" max="5" width="16" customWidth="true" style="0"/>
    <col min="6" max="6" width="16" customWidth="true" style="0"/>
    <col min="7" max="7" width="18" customWidth="true" style="0"/>
    <col min="8" max="8" width="18" customWidth="true" style="0"/>
    <col min="9" max="9" width="16" customWidth="true" style="0"/>
    <col min="10" max="10" width="14" customWidth="true" style="0"/>
    <col min="11" max="11" width="16" customWidth="true" style="0"/>
  </cols>
  <sheetData>
    <row r="1" spans="1:11">
      <c r="A1" s="10" t="s">
        <v>21</v>
      </c>
    </row>
    <row r="3" spans="1:11">
      <c r="A3" s="1" t="s">
        <v>2</v>
      </c>
      <c r="B3" s="11" t="s">
        <v>11</v>
      </c>
      <c r="D3" s="1" t="s">
        <v>29</v>
      </c>
    </row>
    <row r="4" spans="1:11">
      <c r="A4" s="1" t="s">
        <v>22</v>
      </c>
      <c r="B4" s="12">
        <v>1199</v>
      </c>
      <c r="D4" t="s">
        <v>30</v>
      </c>
      <c r="E4">
        <f>B5*B6</f>
        <v>30</v>
      </c>
    </row>
    <row r="5" spans="1:11">
      <c r="A5" s="1" t="s">
        <v>23</v>
      </c>
      <c r="B5" s="11">
        <v>3</v>
      </c>
      <c r="D5" t="s">
        <v>31</v>
      </c>
      <c r="E5" s="15">
        <f>B4*B7</f>
        <v>3597</v>
      </c>
    </row>
    <row r="6" spans="1:11">
      <c r="A6" s="1" t="s">
        <v>24</v>
      </c>
      <c r="B6" s="11">
        <v>10</v>
      </c>
      <c r="D6" t="s">
        <v>32</v>
      </c>
      <c r="E6" s="15">
        <f>E5*B8</f>
        <v>1798.5</v>
      </c>
    </row>
    <row r="7" spans="1:11">
      <c r="A7" s="1" t="s">
        <v>25</v>
      </c>
      <c r="B7" s="11">
        <v>3</v>
      </c>
      <c r="D7" t="s">
        <v>33</v>
      </c>
      <c r="E7" s="15">
        <f>E5*(1-B8)</f>
        <v>1798.5</v>
      </c>
    </row>
    <row r="8" spans="1:11">
      <c r="A8" s="1" t="s">
        <v>26</v>
      </c>
      <c r="B8" s="14">
        <v>0.5</v>
      </c>
    </row>
    <row r="9" spans="1:11">
      <c r="A9" s="1" t="s">
        <v>27</v>
      </c>
      <c r="B9" s="13">
        <v>0.025</v>
      </c>
    </row>
    <row r="10" spans="1:11">
      <c r="A10" s="1" t="s">
        <v>28</v>
      </c>
      <c r="B10" s="12">
        <v>50</v>
      </c>
    </row>
    <row r="13" spans="1:11">
      <c r="A13" s="4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4" t="s">
        <v>39</v>
      </c>
      <c r="G13" s="4" t="s">
        <v>40</v>
      </c>
      <c r="H13" s="4" t="s">
        <v>41</v>
      </c>
      <c r="I13" s="4" t="s">
        <v>42</v>
      </c>
      <c r="J13" s="4" t="s">
        <v>43</v>
      </c>
      <c r="K13" s="4" t="s">
        <v>44</v>
      </c>
    </row>
    <row r="14" spans="1:11">
      <c r="A14" s="5">
        <v>1</v>
      </c>
      <c r="B14" s="16">
        <v>0</v>
      </c>
      <c r="C14" s="16">
        <f>$E$4</f>
        <v>30</v>
      </c>
      <c r="D14" s="16">
        <f>(B14+C14)*(1-$B$9)</f>
        <v>29.25</v>
      </c>
      <c r="E14" s="17">
        <f>D14*$B$4</f>
        <v>35070.75</v>
      </c>
      <c r="F14" s="17">
        <f>-D14*$B$10</f>
        <v>-1462.5</v>
      </c>
      <c r="G14" s="17">
        <f>-C14*$E$6</f>
        <v>-53955</v>
      </c>
      <c r="H14" s="17">
        <v>0</v>
      </c>
      <c r="I14" s="17">
        <f>G14+H14</f>
        <v>-53955</v>
      </c>
      <c r="J14" s="17">
        <f>E14+F14+I14</f>
        <v>-20346.75</v>
      </c>
      <c r="K14" s="17">
        <f>J14</f>
        <v>-20346.75</v>
      </c>
    </row>
    <row r="15" spans="1:11">
      <c r="A15" s="5">
        <v>2</v>
      </c>
      <c r="B15" s="16">
        <f>D14</f>
        <v>29.25</v>
      </c>
      <c r="C15" s="16">
        <f>$E$4</f>
        <v>30</v>
      </c>
      <c r="D15" s="16">
        <f>(B15+C15)*(1-$B$9)</f>
        <v>57.76875</v>
      </c>
      <c r="E15" s="17">
        <f>D15*$B$4</f>
        <v>69264.73124999999709</v>
      </c>
      <c r="F15" s="17">
        <f>-D15*$B$10</f>
        <v>-2888.4375</v>
      </c>
      <c r="G15" s="17">
        <f>-C15*$E$6</f>
        <v>-53955</v>
      </c>
      <c r="H15" s="17">
        <f>-C14*$E$7</f>
        <v>-53955</v>
      </c>
      <c r="I15" s="17">
        <f>G15+H15</f>
        <v>-107910</v>
      </c>
      <c r="J15" s="17">
        <f>E15+F15+I15</f>
        <v>-41533.70625000000291</v>
      </c>
      <c r="K15" s="17">
        <f>K14+J15</f>
        <v>-61880.45625000000291</v>
      </c>
    </row>
    <row r="16" spans="1:11">
      <c r="A16" s="5">
        <v>3</v>
      </c>
      <c r="B16" s="16">
        <f>D15</f>
        <v>57.76875</v>
      </c>
      <c r="C16" s="16">
        <f>$E$4</f>
        <v>30</v>
      </c>
      <c r="D16" s="16">
        <f>(B16+C16)*(1-$B$9)</f>
        <v>85.57453124999999</v>
      </c>
      <c r="E16" s="17">
        <f>D16*$B$4</f>
        <v>102603.86296874999243</v>
      </c>
      <c r="F16" s="17">
        <f>-D16*$B$10</f>
        <v>-4278.7265625</v>
      </c>
      <c r="G16" s="17">
        <f>-C16*$E$6</f>
        <v>-53955</v>
      </c>
      <c r="H16" s="17">
        <f>-C15*$E$7</f>
        <v>-53955</v>
      </c>
      <c r="I16" s="17">
        <f>G16+H16</f>
        <v>-107910</v>
      </c>
      <c r="J16" s="17">
        <f>E16+F16+I16</f>
        <v>-9584.86359375000757</v>
      </c>
      <c r="K16" s="17">
        <f>K15+J16</f>
        <v>-71465.31984375001048</v>
      </c>
    </row>
    <row r="17" spans="1:11">
      <c r="A17" s="5">
        <v>4</v>
      </c>
      <c r="B17" s="16">
        <f>D16</f>
        <v>85.57453124999999</v>
      </c>
      <c r="C17" s="16">
        <f>$E$4</f>
        <v>30</v>
      </c>
      <c r="D17" s="16">
        <f>(B17+C17)*(1-$B$9)</f>
        <v>112.68516796874999</v>
      </c>
      <c r="E17" s="17">
        <f>D17*$B$4</f>
        <v>135109.51639453123789</v>
      </c>
      <c r="F17" s="17">
        <f>-D17*$B$10</f>
        <v>-5634.25839843749964</v>
      </c>
      <c r="G17" s="17">
        <f>-C17*$E$6</f>
        <v>-53955</v>
      </c>
      <c r="H17" s="17">
        <f>-C16*$E$7</f>
        <v>-53955</v>
      </c>
      <c r="I17" s="17">
        <f>G17+H17</f>
        <v>-107910</v>
      </c>
      <c r="J17" s="17">
        <f>E17+F17+I17</f>
        <v>21565.25799609374371</v>
      </c>
      <c r="K17" s="17">
        <f>K16+J17</f>
        <v>-49900.061847656266764</v>
      </c>
    </row>
    <row r="18" spans="1:11">
      <c r="A18" s="5">
        <v>5</v>
      </c>
      <c r="B18" s="16">
        <f>D17</f>
        <v>112.68516796874999</v>
      </c>
      <c r="C18" s="16">
        <f>$E$4</f>
        <v>30</v>
      </c>
      <c r="D18" s="16">
        <f>(B18+C18)*(1-$B$9)</f>
        <v>139.11803876953124</v>
      </c>
      <c r="E18" s="17">
        <f>D18*$B$4</f>
        <v>166802.52848466794239</v>
      </c>
      <c r="F18" s="17">
        <f>-D18*$B$10</f>
        <v>-6955.90193847656155</v>
      </c>
      <c r="G18" s="17">
        <f>-C18*$E$6</f>
        <v>-53955</v>
      </c>
      <c r="H18" s="17">
        <f>-C17*$E$7</f>
        <v>-53955</v>
      </c>
      <c r="I18" s="17">
        <f>G18+H18</f>
        <v>-107910</v>
      </c>
      <c r="J18" s="17">
        <f>E18+F18+I18</f>
        <v>51936.62654619137174</v>
      </c>
      <c r="K18" s="17">
        <f>K17+J18</f>
        <v>2036.56469853510498</v>
      </c>
    </row>
    <row r="19" spans="1:11">
      <c r="A19" s="5">
        <v>6</v>
      </c>
      <c r="B19" s="16">
        <f>D18</f>
        <v>139.11803876953124</v>
      </c>
      <c r="C19" s="16">
        <f>$E$4</f>
        <v>30</v>
      </c>
      <c r="D19" s="16">
        <f>(B19+C19)*(1-$B$9)</f>
        <v>164.89008780029295</v>
      </c>
      <c r="E19" s="17">
        <f>D19*$B$4</f>
        <v>197703.21527255122783</v>
      </c>
      <c r="F19" s="17">
        <f>-D19*$B$10</f>
        <v>-8244.50439001464656</v>
      </c>
      <c r="G19" s="17">
        <f>-C19*$E$6</f>
        <v>-53955</v>
      </c>
      <c r="H19" s="17">
        <f>-C18*$E$7</f>
        <v>-53955</v>
      </c>
      <c r="I19" s="17">
        <f>G19+H19</f>
        <v>-107910</v>
      </c>
      <c r="J19" s="17">
        <f>E19+F19+I19</f>
        <v>81548.71088253657217</v>
      </c>
      <c r="K19" s="17">
        <f>K18+J19</f>
        <v>83585.27558107167715</v>
      </c>
    </row>
    <row r="20" spans="1:11">
      <c r="A20" s="5">
        <v>7</v>
      </c>
      <c r="B20" s="16">
        <f>D19</f>
        <v>164.89008780029295</v>
      </c>
      <c r="C20" s="16">
        <f>$E$4</f>
        <v>30</v>
      </c>
      <c r="D20" s="16">
        <f>(B20+C20)*(1-$B$9)</f>
        <v>190.017835605285626</v>
      </c>
      <c r="E20" s="17">
        <f>D20*$B$4</f>
        <v>227831.38489073747769</v>
      </c>
      <c r="F20" s="17">
        <f>-D20*$B$10</f>
        <v>-9500.8917802642809</v>
      </c>
      <c r="G20" s="17">
        <f>-C20*$E$6</f>
        <v>-53955</v>
      </c>
      <c r="H20" s="17">
        <f>-C19*$E$7</f>
        <v>-53955</v>
      </c>
      <c r="I20" s="17">
        <f>G20+H20</f>
        <v>-107910</v>
      </c>
      <c r="J20" s="17">
        <f>E20+F20+I20</f>
        <v>110420.49311047320953</v>
      </c>
      <c r="K20" s="17">
        <f>K19+J20</f>
        <v>194005.76869154488668</v>
      </c>
    </row>
    <row r="21" spans="1:11">
      <c r="A21" s="5">
        <v>8</v>
      </c>
      <c r="B21" s="16">
        <f>D20</f>
        <v>190.017835605285626</v>
      </c>
      <c r="C21" s="16">
        <f>$E$4</f>
        <v>30</v>
      </c>
      <c r="D21" s="16">
        <f>(B21+C21)*(1-$B$9)</f>
        <v>214.51738971515348</v>
      </c>
      <c r="E21" s="17">
        <f>D21*$B$4</f>
        <v>257206.35026846901746</v>
      </c>
      <c r="F21" s="17">
        <f>-D21*$B$10</f>
        <v>-10725.86948575767383</v>
      </c>
      <c r="G21" s="17">
        <f>-C21*$E$6</f>
        <v>-53955</v>
      </c>
      <c r="H21" s="17">
        <f>-C20*$E$7</f>
        <v>-53955</v>
      </c>
      <c r="I21" s="17">
        <f>G21+H21</f>
        <v>-107910</v>
      </c>
      <c r="J21" s="17">
        <f>E21+F21+I21</f>
        <v>138570.48078271135455</v>
      </c>
      <c r="K21" s="17">
        <f>K20+J21</f>
        <v>332576.24947425624123</v>
      </c>
    </row>
    <row r="22" spans="1:11">
      <c r="A22" s="5">
        <v>9</v>
      </c>
      <c r="B22" s="16">
        <f>D21</f>
        <v>214.51738971515348</v>
      </c>
      <c r="C22" s="16">
        <f>$E$4</f>
        <v>30</v>
      </c>
      <c r="D22" s="16">
        <f>(B22+C22)*(1-$B$9)</f>
        <v>238.40445497227464</v>
      </c>
      <c r="E22" s="17">
        <f>D22*$B$4</f>
        <v>285846.94151175726438</v>
      </c>
      <c r="F22" s="17">
        <f>-D22*$B$10</f>
        <v>-11920.22274861373262</v>
      </c>
      <c r="G22" s="17">
        <f>-C22*$E$6</f>
        <v>-53955</v>
      </c>
      <c r="H22" s="17">
        <f>-C21*$E$7</f>
        <v>-53955</v>
      </c>
      <c r="I22" s="17">
        <f>G22+H22</f>
        <v>-107910</v>
      </c>
      <c r="J22" s="17">
        <f>E22+F22+I22</f>
        <v>166016.71876314352266</v>
      </c>
      <c r="K22" s="17">
        <f>K21+J22</f>
        <v>498592.96823739976389</v>
      </c>
    </row>
    <row r="23" spans="1:11">
      <c r="A23" s="5">
        <v>10</v>
      </c>
      <c r="B23" s="16">
        <f>D22</f>
        <v>238.40445497227464</v>
      </c>
      <c r="C23" s="16">
        <f>$E$4</f>
        <v>30</v>
      </c>
      <c r="D23" s="16">
        <f>(B23+C23)*(1-$B$9)</f>
        <v>261.69434359796776</v>
      </c>
      <c r="E23" s="17">
        <f>D23*$B$4</f>
        <v>313771.51797396334587</v>
      </c>
      <c r="F23" s="17">
        <f>-D23*$B$10</f>
        <v>-13084.71717989838726</v>
      </c>
      <c r="G23" s="17">
        <f>-C23*$E$6</f>
        <v>-53955</v>
      </c>
      <c r="H23" s="17">
        <f>-C22*$E$7</f>
        <v>-53955</v>
      </c>
      <c r="I23" s="17">
        <f>G23+H23</f>
        <v>-107910</v>
      </c>
      <c r="J23" s="17">
        <f>E23+F23+I23</f>
        <v>192776.80079406494042</v>
      </c>
      <c r="K23" s="17">
        <f>K22+J23</f>
        <v>691369.76903146470431</v>
      </c>
    </row>
    <row r="24" spans="1:11">
      <c r="A24" s="5">
        <v>11</v>
      </c>
      <c r="B24" s="16">
        <f>D23</f>
        <v>261.69434359796776</v>
      </c>
      <c r="C24" s="16">
        <f>$E$4</f>
        <v>30</v>
      </c>
      <c r="D24" s="16">
        <f>(B24+C24)*(1-$B$9)</f>
        <v>284.40198500801858</v>
      </c>
      <c r="E24" s="17">
        <f>D24*$B$4</f>
        <v>340997.98002461425494</v>
      </c>
      <c r="F24" s="17">
        <f>-D24*$B$10</f>
        <v>-14220.099250400930032</v>
      </c>
      <c r="G24" s="17">
        <f>-C24*$E$6</f>
        <v>-53955</v>
      </c>
      <c r="H24" s="17">
        <f>-C23*$E$7</f>
        <v>-53955</v>
      </c>
      <c r="I24" s="17">
        <f>G24+H24</f>
        <v>-107910</v>
      </c>
      <c r="J24" s="17">
        <f>E24+F24+I24</f>
        <v>218867.88077421335038</v>
      </c>
      <c r="K24" s="17">
        <f>K23+J24</f>
        <v>910237.64980567805469</v>
      </c>
    </row>
    <row r="25" spans="1:11">
      <c r="A25" s="5">
        <v>12</v>
      </c>
      <c r="B25" s="16">
        <f>D24</f>
        <v>284.40198500801858</v>
      </c>
      <c r="C25" s="16">
        <f>$E$4</f>
        <v>30</v>
      </c>
      <c r="D25" s="16">
        <f>(B25+C25)*(1-$B$9)</f>
        <v>306.54193538281811</v>
      </c>
      <c r="E25" s="17">
        <f>D25*$B$4</f>
        <v>367543.78052399889566</v>
      </c>
      <c r="F25" s="17">
        <f>-D25*$B$10</f>
        <v>-15327.096769140905963</v>
      </c>
      <c r="G25" s="17">
        <f>-C25*$E$6</f>
        <v>-53955</v>
      </c>
      <c r="H25" s="17">
        <f>-C24*$E$7</f>
        <v>-53955</v>
      </c>
      <c r="I25" s="17">
        <f>G25+H25</f>
        <v>-107910</v>
      </c>
      <c r="J25" s="17">
        <f>E25+F25+I25</f>
        <v>244306.68375485797878</v>
      </c>
      <c r="K25" s="17">
        <f>K24+J25</f>
        <v>1154544.33356053614989</v>
      </c>
    </row>
    <row r="27" spans="1:11">
      <c r="A27" s="18" t="s">
        <v>45</v>
      </c>
    </row>
    <row r="28" spans="1:11">
      <c r="A28" t="s">
        <v>46</v>
      </c>
      <c r="F28" s="19">
        <f>ABS(MIN(K14:K25))</f>
        <v>71465.31984375001048</v>
      </c>
    </row>
    <row r="29" spans="1:11">
      <c r="A29" t="s">
        <v>47</v>
      </c>
      <c r="F29" s="20">
        <f>F28*1.5</f>
        <v>107197.97976562501572</v>
      </c>
    </row>
    <row r="30" spans="1:11">
      <c r="A30" t="s">
        <v>48</v>
      </c>
      <c r="F30" s="19">
        <f>E25</f>
        <v>367543.78052399889566</v>
      </c>
    </row>
    <row r="31" spans="1:11">
      <c r="A31" t="s">
        <v>49</v>
      </c>
      <c r="F31" s="19">
        <f>J25</f>
        <v>244306.68375485797878</v>
      </c>
    </row>
  </sheetData>
  <mergeCells>
    <mergeCell ref="A1:H1"/>
    <mergeCell ref="A27:K27"/>
  </mergeCells>
  <conditionalFormatting sqref="K14:K25">
    <cfRule type="cellIs" dxfId="0" priority="1" operator="lessThan">
      <formula>0</formula>
    </cfRule>
    <cfRule type="cellIs" dxfId="1" priority="2" operator="greaterThanOrEqual">
      <formula>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Básico</vt:lpstr>
      <vt:lpstr>Profesional</vt:lpstr>
      <vt:lpstr>Clínica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2026-04-11T17:51:21+00:00</dcterms:created>
  <dcterms:modified xsi:type="dcterms:W3CDTF">2026-04-11T17:51:21+00:00</dcterms:modified>
  <dc:title>Untitled Spreadsheet</dc:title>
  <dc:description/>
  <dc:subject/>
  <cp:keywords/>
  <cp:category/>
</cp:coreProperties>
</file>