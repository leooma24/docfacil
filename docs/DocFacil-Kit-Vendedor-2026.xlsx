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9" autoFilterDateGrouping="true" firstSheet="0" minimized="false" showHorizontalScroll="true" showSheetTabs="true" showVerticalScroll="true" tabRatio="600" visibility="visible"/>
  </bookViews>
  <sheets>
    <sheet name="Portada" sheetId="1" r:id="rId4"/>
    <sheet name="Planes y Precios" sheetId="2" r:id="rId5"/>
    <sheet name="Features por Plan" sheetId="3" r:id="rId6"/>
    <sheet name="Features IA" sheetId="4" r:id="rId7"/>
    <sheet name="vs Competencia" sheetId="5" r:id="rId8"/>
    <sheet name="Script de Venta" sheetId="6" r:id="rId9"/>
    <sheet name="Calculadora ROI" sheetId="7" r:id="rId10"/>
    <sheet name="Comisiones" sheetId="8" r:id="rId11"/>
    <sheet name="Links y Recursos" sheetId="9" r:id="rId12"/>
    <sheet name="Checklist" sheetId="10" r:id="rId13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<sst xmlns="http://schemas.openxmlformats.org/spreadsheetml/2006/main" uniqueCount="290">
  <si>
    <t>DocFácil — Kit de Vendedor 2026</t>
  </si>
  <si>
    <t>El único software médico con IA de verdad en México</t>
  </si>
  <si>
    <t>ÍNDICE DEL KIT</t>
  </si>
  <si>
    <t>1. Planes y Precios</t>
  </si>
  <si>
    <t>Tabla completa con todos los planes, precios y features</t>
  </si>
  <si>
    <t>2. Features por Plan</t>
  </si>
  <si>
    <t>Comparativa detallada de qué incluye cada plan</t>
  </si>
  <si>
    <t>3. Features con IA</t>
  </si>
  <si>
    <t>12 features con Inteligencia Artificial</t>
  </si>
  <si>
    <t>4. Competencia</t>
  </si>
  <si>
    <t>Comparativa vs SimplyBook, Abysmed, Doctoralia, iPraxis</t>
  </si>
  <si>
    <t>5. Script de Venta</t>
  </si>
  <si>
    <t>Argumentos clave y respuestas a objeciones</t>
  </si>
  <si>
    <t>6. Calculadora ROI</t>
  </si>
  <si>
    <t>Hoja interactiva para calcular ahorro del doctor</t>
  </si>
  <si>
    <t>7. Comisiones</t>
  </si>
  <si>
    <t>Cuánto ganas por cada venta (50% primer pago, 50% segundo)</t>
  </si>
  <si>
    <t>8. Links y Demos</t>
  </si>
  <si>
    <t>URLs importantes: demo, landing, WhatsApp soporte</t>
  </si>
  <si>
    <t>9. Checklist de Venta</t>
  </si>
  <si>
    <t>Pasos para cerrar un cliente</t>
  </si>
  <si>
    <t>💰 PLANES Y PRECIOS</t>
  </si>
  <si>
    <t>Plan</t>
  </si>
  <si>
    <t>Precio /mes</t>
  </si>
  <si>
    <t>Precio Fundador</t>
  </si>
  <si>
    <t>Doctores</t>
  </si>
  <si>
    <t>Pacientes</t>
  </si>
  <si>
    <t>Target</t>
  </si>
  <si>
    <t>FREE</t>
  </si>
  <si>
    <t>$0</t>
  </si>
  <si>
    <t>—</t>
  </si>
  <si>
    <t>Doctores curiosos. Gancho para conversión.</t>
  </si>
  <si>
    <t>BÁSICO</t>
  </si>
  <si>
    <t>$299</t>
  </si>
  <si>
    <t>$149 (50% off)</t>
  </si>
  <si>
    <t>Doctores individuales que buscan eficiencia básica.</t>
  </si>
  <si>
    <t>PRO ⭐</t>
  </si>
  <si>
    <t>$599</t>
  </si>
  <si>
    <t>$299 (50% off)</t>
  </si>
  <si>
    <t>Ilimitados</t>
  </si>
  <si>
    <t>EL QUE MÁS VENDE. Incluye TODA la IA.</t>
  </si>
  <si>
    <t>CLÍNICA</t>
  </si>
  <si>
    <t>$1,199</t>
  </si>
  <si>
    <t>$599 (50% off)</t>
  </si>
  <si>
    <t>Clínicas con 4+ doctores. Multi-sucursal.</t>
  </si>
  <si>
    <t>⚠️ IMPORTANTE: Las comisiones solo se pagan por planes PRO y CLÍNICA (NO Free ni Básico)</t>
  </si>
  <si>
    <t>✨ FEATURES INCLUIDAS POR PLAN</t>
  </si>
  <si>
    <t>Feature</t>
  </si>
  <si>
    <t>Free</t>
  </si>
  <si>
    <t>Básico $299</t>
  </si>
  <si>
    <t>Pro $599</t>
  </si>
  <si>
    <t>Clínica $1,199</t>
  </si>
  <si>
    <t>👥 Pacientes</t>
  </si>
  <si>
    <t>📅 Citas por mes</t>
  </si>
  <si>
    <t>Ilimitadas</t>
  </si>
  <si>
    <t>👨‍⚕️ Doctores</t>
  </si>
  <si>
    <t>🏢 Multi-sucursal</t>
  </si>
  <si>
    <t>❌</t>
  </si>
  <si>
    <t>✅</t>
  </si>
  <si>
    <t>📄 Recetas PDF profesionales</t>
  </si>
  <si>
    <t>📱 Recordatorios WhatsApp</t>
  </si>
  <si>
    <t>💬 Cobro por WhatsApp</t>
  </si>
  <si>
    <t>📲 Check-in con QR</t>
  </si>
  <si>
    <t>🎤 Dictado por voz</t>
  </si>
  <si>
    <t>✍️ Firma digital</t>
  </si>
  <si>
    <t>🦷 Odontograma</t>
  </si>
  <si>
    <t>════ FEATURES CON IA ════</t>
  </si>
  <si>
    <t>🤖 Dictado inteligente con IA</t>
  </si>
  <si>
    <t>🧠 Resumen IA del paciente</t>
  </si>
  <si>
    <t>💡 Sugerencias de diagnóstico IA</t>
  </si>
  <si>
    <t>📋 Consentimientos con IA</t>
  </si>
  <si>
    <t>📊 Análisis IA del consultorio</t>
  </si>
  <si>
    <t>🔮 Métricas predictivas</t>
  </si>
  <si>
    <t>💬 Chatbot IA flotante</t>
  </si>
  <si>
    <t>🎙️ Modo consulta en vivo</t>
  </si>
  <si>
    <t>⌨️ Command Palette (Ctrl+K)</t>
  </si>
  <si>
    <t>🗓️ Slot mágico en calendario</t>
  </si>
  <si>
    <t>💬 Autoresponder WhatsApp IA</t>
  </si>
  <si>
    <t>📝 Generador mensajes por paciente</t>
  </si>
  <si>
    <t>════ PREMIUM ════</t>
  </si>
  <si>
    <t>📈 Reportes por doctor</t>
  </si>
  <si>
    <t>💰 Comisiones entre doctores</t>
  </si>
  <si>
    <t>⭐ Soporte prioritario</t>
  </si>
  <si>
    <t>🎯 Onboarding 1 a 1</t>
  </si>
  <si>
    <t>🤖 FEATURES CON INTELIGENCIA ARTIFICIAL</t>
  </si>
  <si>
    <t>Qué hace</t>
  </si>
  <si>
    <t>Ahorro al doctor</t>
  </si>
  <si>
    <t>Pitch killer</t>
  </si>
  <si>
    <t>Dictado inteligente</t>
  </si>
  <si>
    <t>Habla toda la consulta y la IA llena diagnóstico, tratamiento, receta y notas automáticamente.</t>
  </si>
  <si>
    <t>5 min/paciente</t>
  </si>
  <si>
    <t>"Doctor, deja de teclear. Habla y yo escribo."</t>
  </si>
  <si>
    <t>Resumen IA paciente</t>
  </si>
  <si>
    <t>Al abrir un paciente, la IA te da un resumen narrativo en 2 segundos.</t>
  </si>
  <si>
    <t>30 seg/paciente</t>
  </si>
  <si>
    <t>"Entiende al paciente en 2 segundos sin leer 5 pantallas."</t>
  </si>
  <si>
    <t>Sugerencias Dx</t>
  </si>
  <si>
    <t>Escribes el motivo y la IA sugiere 3 diagnósticos con tratamiento y medicamento.</t>
  </si>
  <si>
    <t>Consultas difíciles</t>
  </si>
  <si>
    <t>"Es como tener un residente experto al lado."</t>
  </si>
  <si>
    <t>Consentimientos IA</t>
  </si>
  <si>
    <t>Escribes el procedimiento y la IA genera el consentimiento completo en 5 segundos.</t>
  </si>
  <si>
    <t>20 min/consentimiento</t>
  </si>
  <si>
    <t>"De 20 minutos a 5 segundos."</t>
  </si>
  <si>
    <t>Análisis consultorio</t>
  </si>
  <si>
    <t>La IA analiza tus datos y sugiere acciones: qué pacientes recuperar, cuándo subir precios, etc.</t>
  </si>
  <si>
    <t>"Como tener un consultor de negocio 24/7."</t>
  </si>
  <si>
    <t>Métricas predictivas</t>
  </si>
  <si>
    <t>Predice ingresos, detecta pacientes que se van, sugiere precios óptimos.</t>
  </si>
  <si>
    <t>"DocFácil te dice qué va a pasar en 2 semanas."</t>
  </si>
  <si>
    <t>Chatbot IA flotante</t>
  </si>
  <si>
    <t>Pregunta lo que sea: "cuánto facturé", "quién tiene cita mañana". Responde con datos reales.</t>
  </si>
  <si>
    <t>20 clicks/día</t>
  </si>
  <si>
    <t>"En lugar de navegar menús, le preguntas."</t>
  </si>
  <si>
    <t>Modo consulta en vivo</t>
  </si>
  <si>
    <t>La IA escucha toda la consulta (doctor+paciente) y llena el expediente al final.</t>
  </si>
  <si>
    <t>"Tú atiendes, la IA escribe."</t>
  </si>
  <si>
    <t>Command Palette</t>
  </si>
  <si>
    <t>Ctrl+K en cualquier pantalla. Escribe lo que quieres hacer y aparece.</t>
  </si>
  <si>
    <t>50 clicks/día</t>
  </si>
  <si>
    <t>"Como Linear o Notion, pero para tu consultorio."</t>
  </si>
  <si>
    <t>Slot mágico calendario</t>
  </si>
  <si>
    <t>Dile "busca 30min mañana" y la IA te da los mejores horarios.</t>
  </si>
  <si>
    <t>Reagendado más rápido</t>
  </si>
  <si>
    <t>"Nunca más tetris mental con la agenda."</t>
  </si>
  <si>
    <t>Autoresponder WhatsApp</t>
  </si>
  <si>
    <t>Pacientes te escriben y la IA responde en tu nombre sobre citas, recetas, etc.</t>
  </si>
  <si>
    <t>Recepcionista virtual</t>
  </si>
  <si>
    <t>"Tu clínica contesta WhatsApp 24/7 sin contratar a nadie."</t>
  </si>
  <si>
    <t>Generador mensajes</t>
  </si>
  <si>
    <t>Botón para generar mensaje perfecto para cada paciente: recordatorio, seguimiento, cumpleaños, etc.</t>
  </si>
  <si>
    <t>10 min/mensaje</t>
  </si>
  <si>
    <t>"Retén pacientes sin escribir tú."</t>
  </si>
  <si>
    <t>⚔️ DOCFÁCIL vs COMPETENCIA</t>
  </si>
  <si>
    <t>Software</t>
  </si>
  <si>
    <t>IA</t>
  </si>
  <si>
    <t>Dictado</t>
  </si>
  <si>
    <t>WhatsApp</t>
  </si>
  <si>
    <t>Recetas PDF</t>
  </si>
  <si>
    <t>Nube</t>
  </si>
  <si>
    <t>DocFácil PRO ⭐</t>
  </si>
  <si>
    <t>✅✅✅ 12 features</t>
  </si>
  <si>
    <t>✅ Automático</t>
  </si>
  <si>
    <t>SimplyBook.me</t>
  </si>
  <si>
    <t>$800+</t>
  </si>
  <si>
    <t>⚠️ Básico</t>
  </si>
  <si>
    <t>⚠️</t>
  </si>
  <si>
    <t>Abysmed</t>
  </si>
  <si>
    <t>$1,200+</t>
  </si>
  <si>
    <t>Doctoralia</t>
  </si>
  <si>
    <t>$1,500+</t>
  </si>
  <si>
    <t>iPraxis</t>
  </si>
  <si>
    <t>$700</t>
  </si>
  <si>
    <t>❌ Local</t>
  </si>
  <si>
    <t>💡 KEY INSIGHT: Eres el MÁS BARATO Y tienes las ÚNICAS features con IA del mercado mexicano.</t>
  </si>
  <si>
    <t>📞 SCRIPT DE VENTA + OBJECIONES</t>
  </si>
  <si>
    <t>APERTURA</t>
  </si>
  <si>
    <t>Saludo inicial</t>
  </si>
  <si>
    <t>"Hola Dr./Dra. [Nombre], soy [Tu nombre] de DocFácil. Te contacto porque somos el único software médico en México con Inteligencia Artificial integrada. ¿Tienes 3 minutos para ver cómo le ahorramos 2 horas al día a doctores como tú?"</t>
  </si>
  <si>
    <t>DOLOR</t>
  </si>
  <si>
    <t>Pregunta clave</t>
  </si>
  <si>
    <t>"Doctor, ¿cuánto tiempo al día pasas tecleando expedientes en vez de atender pacientes?"</t>
  </si>
  <si>
    <t>Pregunta 2</t>
  </si>
  <si>
    <t>"¿Cuántos pacientes se te van porque no se enteran que tienen cita?"</t>
  </si>
  <si>
    <t>Pregunta 3</t>
  </si>
  <si>
    <t>"¿Cobras efectivo o pierdes ventas porque el paciente no trae dinero?"</t>
  </si>
  <si>
    <t>DEMO</t>
  </si>
  <si>
    <t>Punto 1</t>
  </si>
  <si>
    <t>Muestra DICTADO INTELIGENTE: "Mira, oprimo grabar, hablo normal y la IA me llena todo: diagnóstico, tratamiento, receta."</t>
  </si>
  <si>
    <t>Punto 2</t>
  </si>
  <si>
    <t>Muestra CHATBOT IA: "Ctrl+K, le pregunto cuánto facturé este mes y me responde con datos reales."</t>
  </si>
  <si>
    <t>Punto 3</t>
  </si>
  <si>
    <t>Muestra RECORDATORIOS: "Cada cita genera recordatorio automático 24h y 2h antes por WhatsApp."</t>
  </si>
  <si>
    <t>Punto 4</t>
  </si>
  <si>
    <t>Muestra COBRO WhatsApp: "Al terminar la consulta, un click y el paciente recibe el cobro."</t>
  </si>
  <si>
    <t>CIERRE</t>
  </si>
  <si>
    <t>Frase de cierre</t>
  </si>
  <si>
    <t>"Doctor, por $599 al mes estás ganando 2 horas al día = $10,000 extra al mes. DocFácil se paga 16 veces."</t>
  </si>
  <si>
    <t>Call to action</t>
  </si>
  <si>
    <t>"Te doy 14 días gratis con todas las features. Sin tarjeta. ¿A qué hora te puedo ayudar a configurarlo?"</t>
  </si>
  <si>
    <t>OBJECIONES</t>
  </si>
  <si>
    <t>"Es caro"</t>
  </si>
  <si>
    <t>"Doctor, ¿cuánto cobras por consulta? ¿$500? DocFácil Pro cuesta MENOS de 1 consulta y te ahorra 40 pacientes al mes en tiempo. Se paga 40 veces."</t>
  </si>
  <si>
    <t>"No soy tecnológico"</t>
  </si>
  <si>
    <t>"Por eso la IA. No tienes que aprender nada. Literalmente hablas y la app escribe. Si sabes usar WhatsApp, sabes usar DocFácil."</t>
  </si>
  <si>
    <t>"Ya tengo software"</t>
  </si>
  <si>
    <t>"¿Tiene IA que escribe expedientes? ¿Tiene chatbot que responde preguntas? ¿Predice tus ingresos? Somos los únicos. Pruébalo 14 días gratis sin cancelar lo actual."</t>
  </si>
  <si>
    <t>"Mis datos están seguros?"</t>
  </si>
  <si>
    <t>"Absolutamente. Encriptación SSL, backups automáticos diarios, tus datos están separados de otras clínicas. Cumplimos con todas las normas mexicanas."</t>
  </si>
  <si>
    <t>"Y si no me gusta?"</t>
  </si>
  <si>
    <t>"Cancelas cuando quieras, sin penalización. Primeros 14 días son gratis sin tarjeta. Solo pagas si te gusta."</t>
  </si>
  <si>
    <t>"Necesito pensarlo"</t>
  </si>
  <si>
    <t>"Entiendo doctor. Te activo los 14 días gratis ya, pruébalo con tus pacientes de mañana, si no te gusta, no pasa nada. ¿Cuál es tu WhatsApp?"</t>
  </si>
  <si>
    <t>💸 CALCULADORA DE ROI (edita las celdas amarillas)</t>
  </si>
  <si>
    <t>INPUTS DEL DOCTOR</t>
  </si>
  <si>
    <t>Pacientes al mes</t>
  </si>
  <si>
    <t>Pacientes que atiendes mensualmente</t>
  </si>
  <si>
    <t>Precio por consulta (MXN)</t>
  </si>
  <si>
    <t>Lo que cobras por consulta promedio</t>
  </si>
  <si>
    <t>Horas/semana en papeleo</t>
  </si>
  <si>
    <t>Horas que gastas en admin, no atendiendo</t>
  </si>
  <si>
    <t>CÁLCULO DE AHORRO</t>
  </si>
  <si>
    <t>Ahorro en tiempo (DocFácil reduce 60% admin)</t>
  </si>
  <si>
    <t>Horas liberadas x tarifa/hora</t>
  </si>
  <si>
    <t>Retención por WhatsApp (reduce 8% no-shows)</t>
  </si>
  <si>
    <t>Citas que se salvan x precio</t>
  </si>
  <si>
    <t>Extra por dictado IA (atiendes más pacientes)</t>
  </si>
  <si>
    <t>1 paciente extra al día x precio</t>
  </si>
  <si>
    <t>TOTAL AHORRO/MES</t>
  </si>
  <si>
    <t>Total mensual ganado con DocFácil</t>
  </si>
  <si>
    <t>Precio DocFácil Pro</t>
  </si>
  <si>
    <t>ROI (cuántas veces paga DocFácil)</t>
  </si>
  <si>
    <t>💰 ESQUEMA DE COMISIONES</t>
  </si>
  <si>
    <t>🎯 GANAS 1.5 MENSUALIDADES POR CADA CLIENTE PRO o CLÍNICA</t>
  </si>
  <si>
    <t>Se paga 50% con el primer pago del cliente, 50% con el segundo pago</t>
  </si>
  <si>
    <t>Precio cliente/mes</t>
  </si>
  <si>
    <t>Comisión total (1.5x)</t>
  </si>
  <si>
    <t>½ primer pago + ½ segundo pago</t>
  </si>
  <si>
    <t>Sin comisión</t>
  </si>
  <si>
    <t>Básico</t>
  </si>
  <si>
    <t>Pro ⭐</t>
  </si>
  <si>
    <t>$898.50</t>
  </si>
  <si>
    <t>$449.25 + $449.25</t>
  </si>
  <si>
    <t>Clínica</t>
  </si>
  <si>
    <t>$1,798.50</t>
  </si>
  <si>
    <t>$899.25 + $899.25</t>
  </si>
  <si>
    <t>📊 METAS MENSUALES PARA VENDEDOR</t>
  </si>
  <si>
    <t>Nivel</t>
  </si>
  <si>
    <t>Ventas/mes</t>
  </si>
  <si>
    <t>Mix</t>
  </si>
  <si>
    <t>Comisión aproximada</t>
  </si>
  <si>
    <t>Starter</t>
  </si>
  <si>
    <t>3 Pro</t>
  </si>
  <si>
    <t>3 x $898</t>
  </si>
  <si>
    <t>$2,695</t>
  </si>
  <si>
    <t>Medium</t>
  </si>
  <si>
    <t>5 Pro + 1 Clínica</t>
  </si>
  <si>
    <t>5x$898 + 1x$1,798</t>
  </si>
  <si>
    <t>$6,290</t>
  </si>
  <si>
    <t>Top</t>
  </si>
  <si>
    <t>10 Pro + 2 Clínica</t>
  </si>
  <si>
    <t>10x$898 + 2x$1,798</t>
  </si>
  <si>
    <t>$12,580</t>
  </si>
  <si>
    <t>🔗 LINKS IMPORTANTES</t>
  </si>
  <si>
    <t>Landing page</t>
  </si>
  <si>
    <t>https://docfacil.tu-app.co</t>
  </si>
  <si>
    <t>Demo para vendedor (crea clínica temporal)</t>
  </si>
  <si>
    <t>https://docfacil.tu-app.co/demo-vendedor</t>
  </si>
  <si>
    <t>Demo público para prospecto</t>
  </si>
  <si>
    <t>https://docfacil.tu-app.co/demo</t>
  </si>
  <si>
    <t>Registro gratis (doctor)</t>
  </si>
  <si>
    <t>https://docfacil.tu-app.co/doctor/register</t>
  </si>
  <si>
    <t>Panel de admin de doctor</t>
  </si>
  <si>
    <t>https://docfacil.tu-app.co/doctor</t>
  </si>
  <si>
    <t>WhatsApp soporte</t>
  </si>
  <si>
    <t>https://wa.me/526682493398</t>
  </si>
  <si>
    <t>Términos y condiciones</t>
  </si>
  <si>
    <t>https://docfacil.tu-app.co/terminos</t>
  </si>
  <si>
    <t>Política de privacidad</t>
  </si>
  <si>
    <t>https://docfacil.tu-app.co/privacidad</t>
  </si>
  <si>
    <t>✅ CHECKLIST PARA CERRAR UNA VENTA</t>
  </si>
  <si>
    <t>☐</t>
  </si>
  <si>
    <t>Antes del primer contacto</t>
  </si>
  <si>
    <t>Investigar la clínica: especialidad, tamaño, redes sociales</t>
  </si>
  <si>
    <t>Abrir demo-vendedor</t>
  </si>
  <si>
    <t>Tener la sesión demo lista en otra pestaña</t>
  </si>
  <si>
    <t>Contacto inicial</t>
  </si>
  <si>
    <t>Llamada o WhatsApp al doctor (NO email frío)</t>
  </si>
  <si>
    <t>Romper el hielo</t>
  </si>
  <si>
    <t>Hacer pregunta sobre su dolor (tiempo, no-shows, cobros)</t>
  </si>
  <si>
    <t>Demo en vivo</t>
  </si>
  <si>
    <t>Mostrar dictado IA + chatbot IA + recordatorios</t>
  </si>
  <si>
    <t>Cotización</t>
  </si>
  <si>
    <t>Mostrar Plan Pro $599 con 50% descuento = $299 de por vida (fundador)</t>
  </si>
  <si>
    <t>Objeciones</t>
  </si>
  <si>
    <t>Usar respuestas del script (hoja "Script de Venta")</t>
  </si>
  <si>
    <t>Ofrecer trial 14 días</t>
  </si>
  <si>
    <t>Sin tarjeta de crédito, sin compromiso</t>
  </si>
  <si>
    <t>Crear cuenta en su presencia</t>
  </si>
  <si>
    <t>Registrarlo en docfacil.tu-app.co/doctor/register?vnd=TU_CODIGO</t>
  </si>
  <si>
    <t>Configurar con él</t>
  </si>
  <si>
    <t>Ayudar a subir 5-10 pacientes iniciales</t>
  </si>
  <si>
    <t>Agendar seguimiento</t>
  </si>
  <si>
    <t>Llamada en 3 días para ver cómo va</t>
  </si>
  <si>
    <t>Cierre formal</t>
  </si>
  <si>
    <t>Al día 12: "¿Qué te parece si activamos el plan Pro?"</t>
  </si>
  <si>
    <t>Primer pago</t>
  </si>
  <si>
    <t>Se carga tu comisión del 50% (primera mitad)</t>
  </si>
  <si>
    <t>Seguimiento mes 2</t>
  </si>
  <si>
    <t>Asegurar que renueva para recibir la segunda mitad de comisión</t>
  </si>
</sst>
</file>

<file path=xl/styles.xml><?xml version="1.0" encoding="utf-8"?>
<styleSheet xmlns="http://schemas.openxmlformats.org/spreadsheetml/2006/main">
  <numFmts count="2">
    <numFmt numFmtId="164" formatCode="&quot;$&quot;#,##0"/>
    <numFmt numFmtId="165" formatCode="0.0&quot;x&quot;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28"/>
      <color rgb="FFFFFFFF"/>
      <name val="Calibri"/>
    </font>
    <font>
      <b val="1"/>
      <i val="0"/>
      <strike val="0"/>
      <u val="none"/>
      <sz val="14"/>
      <color rgb="FF0891B2"/>
      <name val="Calibri"/>
    </font>
    <font>
      <b val="1"/>
      <i val="0"/>
      <strike val="0"/>
      <u val="none"/>
      <sz val="11"/>
      <color rgb="FF0D9488"/>
      <name val="Calibri"/>
    </font>
    <font>
      <b val="1"/>
      <i val="0"/>
      <strike val="0"/>
      <u val="none"/>
      <sz val="14"/>
      <color rgb="FF0F172A"/>
      <name val="Calibri"/>
    </font>
    <font>
      <b val="1"/>
      <i val="0"/>
      <strike val="0"/>
      <u val="none"/>
      <sz val="20"/>
      <color rgb="FFFFFFFF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2"/>
      <color rgb="FFDC2626"/>
      <name val="Calibri"/>
    </font>
    <font>
      <b val="1"/>
      <i val="0"/>
      <strike val="0"/>
      <u val="none"/>
      <sz val="11"/>
      <color rgb="FF7C3AED"/>
      <name val="Calibri"/>
    </font>
    <font>
      <b val="0"/>
      <i val="1"/>
      <strike val="0"/>
      <u val="none"/>
      <sz val="11"/>
      <color rgb="FF0D9488"/>
      <name val="Calibri"/>
    </font>
    <font>
      <b val="1"/>
      <i val="0"/>
      <strike val="0"/>
      <u val="none"/>
      <sz val="14"/>
      <color rgb="FF0D9488"/>
      <name val="Calibri"/>
    </font>
    <font>
      <b val="1"/>
      <i val="0"/>
      <strike val="0"/>
      <u val="none"/>
      <sz val="14"/>
      <color rgb="FFFFFFFF"/>
      <name val="Calibri"/>
    </font>
    <font>
      <b val="1"/>
      <i val="0"/>
      <strike val="0"/>
      <u val="none"/>
      <sz val="18"/>
      <color rgb="FFFFFFFF"/>
      <name val="Calibri"/>
    </font>
    <font>
      <b val="1"/>
      <i val="0"/>
      <strike val="0"/>
      <u val="none"/>
      <sz val="14"/>
      <color rgb="FF000000"/>
      <name val="Calibri"/>
    </font>
    <font>
      <b val="1"/>
      <i val="0"/>
      <strike val="0"/>
      <u val="none"/>
      <sz val="16"/>
      <color rgb="FF0D9488"/>
      <name val="Calibri"/>
    </font>
    <font>
      <b val="1"/>
      <i val="0"/>
      <strike val="0"/>
      <u val="none"/>
      <sz val="13"/>
      <color rgb="FF0D9488"/>
      <name val="Calibri"/>
    </font>
    <font>
      <b val="0"/>
      <i val="1"/>
      <strike val="0"/>
      <u val="none"/>
      <sz val="11"/>
      <color rgb="FF64748B"/>
      <name val="Calibri"/>
    </font>
    <font>
      <b val="0"/>
      <i val="0"/>
      <strike val="0"/>
      <u val="none"/>
      <sz val="11"/>
      <color rgb="FF0D9488"/>
      <name val="Calibri"/>
    </font>
    <font>
      <b val="0"/>
      <i val="0"/>
      <strike val="0"/>
      <u val="none"/>
      <sz val="16"/>
      <color rgb="FF0000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0D9488"/>
        <bgColor rgb="FF000000"/>
      </patternFill>
    </fill>
    <fill>
      <patternFill patternType="solid">
        <fgColor rgb="FF0F172A"/>
        <bgColor rgb="FF000000"/>
      </patternFill>
    </fill>
    <fill>
      <patternFill patternType="solid">
        <fgColor rgb="FFF0FDFA"/>
        <bgColor rgb="FF000000"/>
      </patternFill>
    </fill>
    <fill>
      <patternFill patternType="solid">
        <fgColor rgb="FFFEE2E2"/>
        <bgColor rgb="FF000000"/>
      </patternFill>
    </fill>
    <fill>
      <patternFill patternType="solid">
        <fgColor rgb="FFF3E8FF"/>
        <bgColor rgb="FF000000"/>
      </patternFill>
    </fill>
    <fill>
      <patternFill patternType="solid">
        <fgColor rgb="FF7C3AED"/>
        <bgColor rgb="FF000000"/>
      </patternFill>
    </fill>
    <fill>
      <patternFill patternType="solid">
        <fgColor rgb="FFF59E0B"/>
        <bgColor rgb="FF000000"/>
      </patternFill>
    </fill>
    <fill>
      <patternFill patternType="solid">
        <fgColor rgb="FFFEF3C7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1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0"/>
    <xf xfId="0" fontId="5" numFmtId="0" fillId="2" borderId="0" applyFont="1" applyNumberFormat="0" applyFill="1" applyBorder="0" applyAlignment="1">
      <alignment horizontal="center" vertical="bottom" textRotation="0" wrapText="false" shrinkToFit="false"/>
    </xf>
    <xf xfId="0" fontId="5" numFmtId="0" fillId="2" borderId="0" applyFont="1" applyNumberFormat="0" applyFill="1" applyBorder="0" applyAlignment="1">
      <alignment horizontal="center" vertical="center" textRotation="0" wrapText="false" shrinkToFit="false"/>
    </xf>
    <xf xfId="0" fontId="6" numFmtId="0" fillId="3" borderId="0" applyFont="1" applyNumberFormat="0" applyFill="1" applyBorder="0" applyAlignment="0"/>
    <xf xfId="0" fontId="0" numFmtId="0" fillId="0" borderId="1" applyFont="0" applyNumberFormat="0" applyFill="0" applyBorder="1" applyAlignment="0"/>
    <xf xfId="0" fontId="7" numFmtId="0" fillId="4" borderId="1" applyFont="1" applyNumberFormat="0" applyFill="1" applyBorder="1" applyAlignment="0"/>
    <xf xfId="0" fontId="8" numFmtId="0" fillId="5" borderId="0" applyFont="1" applyNumberFormat="0" applyFill="1" applyBorder="0" applyAlignment="0"/>
    <xf xfId="0" fontId="6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9" numFmtId="0" fillId="6" borderId="0" applyFont="1" applyNumberFormat="0" applyFill="1" applyBorder="0" applyAlignment="1">
      <alignment horizontal="center" vertical="bottom" textRotation="0" wrapText="false" shrinkToFit="false"/>
    </xf>
    <xf xfId="0" fontId="5" numFmtId="0" fillId="7" borderId="0" applyFont="1" applyNumberFormat="0" applyFill="1" applyBorder="0" applyAlignment="1">
      <alignment horizontal="center" vertical="bottom" textRotation="0" wrapText="false" shrinkToFit="false"/>
    </xf>
    <xf xfId="0" fontId="9" numFmtId="0" fillId="0" borderId="1" applyFont="1" applyNumberFormat="0" applyFill="0" applyBorder="1" applyAlignment="1">
      <alignment vertical="top" textRotation="0" wrapText="true" shrinkToFit="false"/>
    </xf>
    <xf xfId="0" fontId="0" numFmtId="0" fillId="0" borderId="1" applyFont="0" applyNumberFormat="0" applyFill="0" applyBorder="1" applyAlignment="1">
      <alignment vertical="top" textRotation="0" wrapText="true" shrinkToFit="false"/>
    </xf>
    <xf xfId="0" fontId="10" numFmtId="0" fillId="0" borderId="1" applyFont="1" applyNumberFormat="0" applyFill="0" applyBorder="1" applyAlignment="1">
      <alignment vertical="top" textRotation="0" wrapText="true" shrinkToFit="false"/>
    </xf>
    <xf xfId="0" fontId="5" numFmtId="0" fillId="3" borderId="0" applyFont="1" applyNumberFormat="0" applyFill="1" applyBorder="0" applyAlignment="1">
      <alignment horizontal="center" vertical="bottom" textRotation="0" wrapText="false" shrinkToFit="false"/>
    </xf>
    <xf xfId="0" fontId="7" numFmtId="0" fillId="4" borderId="1" applyFont="1" applyNumberFormat="0" applyFill="1" applyBorder="1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0"/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2" numFmtId="0" fillId="7" borderId="0" applyFont="1" applyNumberFormat="0" applyFill="1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1">
      <alignment vertical="top" textRotation="0" wrapText="true" shrinkToFit="false"/>
    </xf>
    <xf xfId="0" fontId="13" numFmtId="0" fillId="8" borderId="0" applyFont="1" applyNumberFormat="0" applyFill="1" applyBorder="0" applyAlignment="1">
      <alignment horizontal="center" vertical="bottom" textRotation="0" wrapText="false" shrinkToFit="false"/>
    </xf>
    <xf xfId="0" fontId="14" numFmtId="0" fillId="9" borderId="1" applyFont="1" applyNumberFormat="0" applyFill="1" applyBorder="1" applyAlignment="0"/>
    <xf xfId="0" fontId="0" numFmtId="164" fillId="0" borderId="0" applyFont="0" applyNumberFormat="1" applyFill="0" applyBorder="0" applyAlignment="0"/>
    <xf xfId="0" fontId="14" numFmtId="0" fillId="4" borderId="1" applyFont="1" applyNumberFormat="0" applyFill="1" applyBorder="1" applyAlignment="0"/>
    <xf xfId="0" fontId="0" numFmtId="164" fillId="0" borderId="1" applyFont="0" applyNumberFormat="1" applyFill="0" applyBorder="1" applyAlignment="0"/>
    <xf xfId="0" fontId="14" numFmtId="164" fillId="4" borderId="1" applyFont="1" applyNumberFormat="1" applyFill="1" applyBorder="1" applyAlignment="0"/>
    <xf xfId="0" fontId="15" numFmtId="0" fillId="0" borderId="0" applyFont="1" applyNumberFormat="0" applyFill="0" applyBorder="0" applyAlignment="0"/>
    <xf xfId="0" fontId="15" numFmtId="165" fillId="0" borderId="0" applyFont="1" applyNumberFormat="1" applyFill="0" applyBorder="0" applyAlignment="0"/>
    <xf xfId="0" fontId="5" numFmtId="0" fillId="8" borderId="0" applyFont="1" applyNumberFormat="0" applyFill="1" applyBorder="0" applyAlignment="1">
      <alignment horizontal="center" vertical="bottom" textRotation="0" wrapText="false" shrinkToFit="false"/>
    </xf>
    <xf xfId="0" fontId="16" numFmtId="0" fillId="0" borderId="0" applyFont="1" applyNumberFormat="0" applyFill="0" applyBorder="0" applyAlignment="1">
      <alignment horizontal="center" vertical="bottom" textRotation="0" wrapText="false" shrinkToFit="false"/>
    </xf>
    <xf xfId="0" fontId="17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6" numFmtId="0" fillId="3" borderId="1" applyFont="1" applyNumberFormat="0" applyFill="1" applyBorder="1" applyAlignment="1">
      <alignment horizontal="center" vertical="bottom" textRotation="0" wrapText="false" shrinkToFit="false"/>
    </xf>
    <xf xfId="0" fontId="7" numFmtId="0" fillId="0" borderId="1" applyFont="1" applyNumberFormat="0" applyFill="0" applyBorder="1" applyAlignment="0"/>
    <xf xfId="0" fontId="18" numFmtId="0" fillId="0" borderId="1" applyFont="1" applyNumberFormat="0" applyFill="0" applyBorder="1" applyAlignment="0"/>
    <xf xfId="0" fontId="19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_rels/sheet6.xml.rels><?xml version="1.0" encoding="UTF-8" standalone="yes"?>
<Relationships xmlns="http://schemas.openxmlformats.org/package/2006/relationships"/>
</file>

<file path=xl/worksheets/_rels/sheet7.xml.rels><?xml version="1.0" encoding="UTF-8" standalone="yes"?>
<Relationships xmlns="http://schemas.openxmlformats.org/package/2006/relationships"/>
</file>

<file path=xl/worksheets/_rels/sheet8.xml.rels><?xml version="1.0" encoding="UTF-8" standalone="yes"?>
<Relationships xmlns="http://schemas.openxmlformats.org/package/2006/relationships"/>
</file>

<file path=xl/worksheets/_rels/sheet9.xml.rels><?xml version="1.0" encoding="UTF-8" standalone="yes"?>
<Relationships xmlns="http://schemas.openxmlformats.org/package/2006/relationships"/>
</file>

<file path=xl/worksheets/_rels/sheet10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14"/>
  <sheetViews>
    <sheetView tabSelected="0" workbookViewId="0" showGridLines="true" showRowColHeaders="1">
      <selection activeCell="A14" sqref="A14"/>
    </sheetView>
  </sheetViews>
  <sheetFormatPr defaultRowHeight="14.4" outlineLevelRow="0" outlineLevelCol="0"/>
  <cols>
    <col min="1" max="1" width="28" customWidth="true" style="0"/>
    <col min="2" max="2" width="20" customWidth="true" style="0"/>
    <col min="3" max="3" width="20" customWidth="true" style="0"/>
    <col min="4" max="4" width="20" customWidth="true" style="0"/>
    <col min="5" max="5" width="20" customWidth="true" style="0"/>
    <col min="6" max="6" width="20" customWidth="true" style="0"/>
  </cols>
  <sheetData>
    <row r="1" spans="1:6" customHeight="1" ht="60">
      <c r="A1" s="1" t="s">
        <v>0</v>
      </c>
    </row>
    <row r="2" spans="1:6" customHeight="1" ht="25">
      <c r="A2" s="2" t="s">
        <v>1</v>
      </c>
    </row>
    <row r="4" spans="1:6">
      <c r="A4" s="3"/>
    </row>
    <row r="5" spans="1:6">
      <c r="A5" s="4" t="s">
        <v>2</v>
      </c>
    </row>
    <row r="6" spans="1:6">
      <c r="A6" s="3" t="s">
        <v>3</v>
      </c>
      <c r="B6" t="s">
        <v>4</v>
      </c>
    </row>
    <row r="7" spans="1:6">
      <c r="A7" s="3" t="s">
        <v>5</v>
      </c>
      <c r="B7" t="s">
        <v>6</v>
      </c>
    </row>
    <row r="8" spans="1:6">
      <c r="A8" s="3" t="s">
        <v>7</v>
      </c>
      <c r="B8" t="s">
        <v>8</v>
      </c>
    </row>
    <row r="9" spans="1:6">
      <c r="A9" s="3" t="s">
        <v>9</v>
      </c>
      <c r="B9" t="s">
        <v>10</v>
      </c>
    </row>
    <row r="10" spans="1:6">
      <c r="A10" s="3" t="s">
        <v>11</v>
      </c>
      <c r="B10" t="s">
        <v>12</v>
      </c>
    </row>
    <row r="11" spans="1:6">
      <c r="A11" s="3" t="s">
        <v>13</v>
      </c>
      <c r="B11" t="s">
        <v>14</v>
      </c>
    </row>
    <row r="12" spans="1:6">
      <c r="A12" s="3" t="s">
        <v>15</v>
      </c>
      <c r="B12" t="s">
        <v>16</v>
      </c>
    </row>
    <row r="13" spans="1:6">
      <c r="A13" s="3" t="s">
        <v>17</v>
      </c>
      <c r="B13" t="s">
        <v>18</v>
      </c>
    </row>
    <row r="14" spans="1:6">
      <c r="A14" s="3" t="s">
        <v>19</v>
      </c>
      <c r="B14" t="s">
        <v>20</v>
      </c>
    </row>
  </sheetData>
  <mergeCells>
    <mergeCell ref="A1:F1"/>
    <mergeCell ref="A2:F2"/>
    <mergeCell ref="B4:F4"/>
    <mergeCell ref="A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10"/>
  <sheetViews>
    <sheetView tabSelected="0" workbookViewId="0" showGridLines="true" showRowColHeaders="1">
      <selection activeCell="A10" sqref="A10"/>
    </sheetView>
  </sheetViews>
  <sheetFormatPr defaultRowHeight="14.4" outlineLevelRow="0" outlineLevelCol="0"/>
  <cols>
    <col min="1" max="1" width="14" customWidth="true" style="0"/>
    <col min="2" max="2" width="14" customWidth="true" style="0"/>
    <col min="3" max="3" width="18" customWidth="true" style="0"/>
    <col min="4" max="4" width="18" customWidth="true" style="0"/>
    <col min="5" max="5" width="18" customWidth="true" style="0"/>
    <col min="6" max="6" width="45" customWidth="true" style="0"/>
  </cols>
  <sheetData>
    <row r="1" spans="1:6" customHeight="1" ht="40">
      <c r="A1" s="6" t="s">
        <v>21</v>
      </c>
    </row>
    <row r="3" spans="1:6" customHeight="1" ht="25">
      <c r="A3" s="7" t="s">
        <v>22</v>
      </c>
      <c r="B3" s="7" t="s">
        <v>23</v>
      </c>
      <c r="C3" s="7" t="s">
        <v>24</v>
      </c>
      <c r="D3" s="7" t="s">
        <v>25</v>
      </c>
      <c r="E3" s="7" t="s">
        <v>26</v>
      </c>
      <c r="F3" s="7" t="s">
        <v>27</v>
      </c>
    </row>
    <row r="4" spans="1:6">
      <c r="A4" s="8" t="s">
        <v>28</v>
      </c>
      <c r="B4" s="8" t="s">
        <v>29</v>
      </c>
      <c r="C4" s="8" t="s">
        <v>30</v>
      </c>
      <c r="D4" s="8">
        <v>1</v>
      </c>
      <c r="E4" s="8">
        <v>30</v>
      </c>
      <c r="F4" s="8" t="s">
        <v>31</v>
      </c>
    </row>
    <row r="5" spans="1:6">
      <c r="A5" s="8" t="s">
        <v>32</v>
      </c>
      <c r="B5" s="8" t="s">
        <v>33</v>
      </c>
      <c r="C5" s="8" t="s">
        <v>34</v>
      </c>
      <c r="D5" s="8">
        <v>1</v>
      </c>
      <c r="E5" s="8">
        <v>200</v>
      </c>
      <c r="F5" s="8" t="s">
        <v>35</v>
      </c>
    </row>
    <row r="6" spans="1:6">
      <c r="A6" s="9" t="s">
        <v>36</v>
      </c>
      <c r="B6" s="9" t="s">
        <v>37</v>
      </c>
      <c r="C6" s="9" t="s">
        <v>38</v>
      </c>
      <c r="D6" s="9">
        <v>3</v>
      </c>
      <c r="E6" s="9" t="s">
        <v>39</v>
      </c>
      <c r="F6" s="9" t="s">
        <v>40</v>
      </c>
    </row>
    <row r="7" spans="1:6">
      <c r="A7" s="8" t="s">
        <v>41</v>
      </c>
      <c r="B7" s="8" t="s">
        <v>42</v>
      </c>
      <c r="C7" s="8" t="s">
        <v>43</v>
      </c>
      <c r="D7" s="8" t="s">
        <v>39</v>
      </c>
      <c r="E7" s="8" t="s">
        <v>39</v>
      </c>
      <c r="F7" s="8" t="s">
        <v>44</v>
      </c>
    </row>
    <row r="10" spans="1:6" customHeight="1" ht="25">
      <c r="A10" s="10" t="s">
        <v>45</v>
      </c>
    </row>
  </sheetData>
  <mergeCells>
    <mergeCell ref="A1:F1"/>
    <mergeCell ref="A10:F10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E34"/>
  <sheetViews>
    <sheetView tabSelected="0" workbookViewId="0" showGridLines="true" showRowColHeaders="1">
      <selection activeCell="B34" sqref="B34:E34"/>
    </sheetView>
  </sheetViews>
  <sheetFormatPr defaultRowHeight="14.4" outlineLevelRow="0" outlineLevelCol="0"/>
  <cols>
    <col min="1" max="1" width="40" customWidth="true" style="0"/>
    <col min="2" max="2" width="12" customWidth="true" style="0"/>
    <col min="3" max="3" width="16" customWidth="true" style="0"/>
    <col min="4" max="4" width="16" customWidth="true" style="0"/>
    <col min="5" max="5" width="18" customWidth="true" style="0"/>
  </cols>
  <sheetData>
    <row r="1" spans="1:5" customHeight="1" ht="40">
      <c r="A1" s="6" t="s">
        <v>46</v>
      </c>
    </row>
    <row r="3" spans="1:5" customHeight="1" ht="25">
      <c r="A3" s="11" t="s">
        <v>47</v>
      </c>
      <c r="B3" s="11" t="s">
        <v>48</v>
      </c>
      <c r="C3" s="11" t="s">
        <v>49</v>
      </c>
      <c r="D3" s="11" t="s">
        <v>50</v>
      </c>
      <c r="E3" s="11" t="s">
        <v>51</v>
      </c>
    </row>
    <row r="4" spans="1:5">
      <c r="A4" s="8" t="s">
        <v>52</v>
      </c>
      <c r="B4" s="12">
        <v>30</v>
      </c>
      <c r="C4" s="12">
        <v>200</v>
      </c>
      <c r="D4" s="12" t="s">
        <v>39</v>
      </c>
      <c r="E4" s="12" t="s">
        <v>39</v>
      </c>
    </row>
    <row r="5" spans="1:5">
      <c r="A5" s="8" t="s">
        <v>53</v>
      </c>
      <c r="B5" s="12">
        <v>20</v>
      </c>
      <c r="C5" s="12" t="s">
        <v>54</v>
      </c>
      <c r="D5" s="12" t="s">
        <v>54</v>
      </c>
      <c r="E5" s="12" t="s">
        <v>54</v>
      </c>
    </row>
    <row r="6" spans="1:5">
      <c r="A6" s="8" t="s">
        <v>55</v>
      </c>
      <c r="B6" s="12">
        <v>1</v>
      </c>
      <c r="C6" s="12">
        <v>1</v>
      </c>
      <c r="D6" s="12">
        <v>3</v>
      </c>
      <c r="E6" s="12" t="s">
        <v>39</v>
      </c>
    </row>
    <row r="7" spans="1:5">
      <c r="A7" s="8" t="s">
        <v>56</v>
      </c>
      <c r="B7" s="12" t="s">
        <v>57</v>
      </c>
      <c r="C7" s="12" t="s">
        <v>57</v>
      </c>
      <c r="D7" s="12" t="s">
        <v>57</v>
      </c>
      <c r="E7" s="12" t="s">
        <v>58</v>
      </c>
    </row>
    <row r="8" spans="1:5">
      <c r="A8" s="8" t="s">
        <v>59</v>
      </c>
      <c r="B8" s="12" t="s">
        <v>57</v>
      </c>
      <c r="C8" s="12" t="s">
        <v>58</v>
      </c>
      <c r="D8" s="12" t="s">
        <v>58</v>
      </c>
      <c r="E8" s="12" t="s">
        <v>58</v>
      </c>
    </row>
    <row r="9" spans="1:5">
      <c r="A9" s="8" t="s">
        <v>60</v>
      </c>
      <c r="B9" s="12" t="s">
        <v>57</v>
      </c>
      <c r="C9" s="12" t="s">
        <v>58</v>
      </c>
      <c r="D9" s="12" t="s">
        <v>58</v>
      </c>
      <c r="E9" s="12" t="s">
        <v>58</v>
      </c>
    </row>
    <row r="10" spans="1:5">
      <c r="A10" s="8" t="s">
        <v>61</v>
      </c>
      <c r="B10" s="12" t="s">
        <v>57</v>
      </c>
      <c r="C10" s="12" t="s">
        <v>58</v>
      </c>
      <c r="D10" s="12" t="s">
        <v>58</v>
      </c>
      <c r="E10" s="12" t="s">
        <v>58</v>
      </c>
    </row>
    <row r="11" spans="1:5">
      <c r="A11" s="8" t="s">
        <v>62</v>
      </c>
      <c r="B11" s="12" t="s">
        <v>57</v>
      </c>
      <c r="C11" s="12" t="s">
        <v>58</v>
      </c>
      <c r="D11" s="12" t="s">
        <v>58</v>
      </c>
      <c r="E11" s="12" t="s">
        <v>58</v>
      </c>
    </row>
    <row r="12" spans="1:5">
      <c r="A12" s="8" t="s">
        <v>63</v>
      </c>
      <c r="B12" s="12" t="s">
        <v>57</v>
      </c>
      <c r="C12" s="12" t="s">
        <v>58</v>
      </c>
      <c r="D12" s="12" t="s">
        <v>58</v>
      </c>
      <c r="E12" s="12" t="s">
        <v>58</v>
      </c>
    </row>
    <row r="13" spans="1:5">
      <c r="A13" s="8" t="s">
        <v>64</v>
      </c>
      <c r="B13" s="12" t="s">
        <v>57</v>
      </c>
      <c r="C13" s="12" t="s">
        <v>58</v>
      </c>
      <c r="D13" s="12" t="s">
        <v>58</v>
      </c>
      <c r="E13" s="12" t="s">
        <v>58</v>
      </c>
    </row>
    <row r="14" spans="1:5">
      <c r="A14" s="8" t="s">
        <v>65</v>
      </c>
      <c r="B14" s="12" t="s">
        <v>57</v>
      </c>
      <c r="C14" s="12" t="s">
        <v>58</v>
      </c>
      <c r="D14" s="12" t="s">
        <v>58</v>
      </c>
      <c r="E14" s="12" t="s">
        <v>58</v>
      </c>
    </row>
    <row r="15" spans="1:5">
      <c r="A15" s="8"/>
      <c r="B15" s="12"/>
      <c r="C15" s="12"/>
      <c r="D15" s="12"/>
      <c r="E15" s="12"/>
    </row>
    <row r="16" spans="1:5">
      <c r="A16" s="13" t="s">
        <v>66</v>
      </c>
    </row>
    <row r="17" spans="1:5">
      <c r="A17" s="8" t="s">
        <v>67</v>
      </c>
      <c r="B17" s="12" t="s">
        <v>57</v>
      </c>
      <c r="C17" s="12" t="s">
        <v>57</v>
      </c>
      <c r="D17" s="12" t="s">
        <v>58</v>
      </c>
      <c r="E17" s="12" t="s">
        <v>58</v>
      </c>
    </row>
    <row r="18" spans="1:5">
      <c r="A18" s="8" t="s">
        <v>68</v>
      </c>
      <c r="B18" s="12" t="s">
        <v>57</v>
      </c>
      <c r="C18" s="12" t="s">
        <v>57</v>
      </c>
      <c r="D18" s="12" t="s">
        <v>58</v>
      </c>
      <c r="E18" s="12" t="s">
        <v>58</v>
      </c>
    </row>
    <row r="19" spans="1:5">
      <c r="A19" s="8" t="s">
        <v>69</v>
      </c>
      <c r="B19" s="12" t="s">
        <v>57</v>
      </c>
      <c r="C19" s="12" t="s">
        <v>57</v>
      </c>
      <c r="D19" s="12" t="s">
        <v>58</v>
      </c>
      <c r="E19" s="12" t="s">
        <v>58</v>
      </c>
    </row>
    <row r="20" spans="1:5">
      <c r="A20" s="8" t="s">
        <v>70</v>
      </c>
      <c r="B20" s="12" t="s">
        <v>57</v>
      </c>
      <c r="C20" s="12" t="s">
        <v>57</v>
      </c>
      <c r="D20" s="12" t="s">
        <v>58</v>
      </c>
      <c r="E20" s="12" t="s">
        <v>58</v>
      </c>
    </row>
    <row r="21" spans="1:5">
      <c r="A21" s="8" t="s">
        <v>71</v>
      </c>
      <c r="B21" s="12" t="s">
        <v>57</v>
      </c>
      <c r="C21" s="12" t="s">
        <v>57</v>
      </c>
      <c r="D21" s="12" t="s">
        <v>58</v>
      </c>
      <c r="E21" s="12" t="s">
        <v>58</v>
      </c>
    </row>
    <row r="22" spans="1:5">
      <c r="A22" s="8" t="s">
        <v>72</v>
      </c>
      <c r="B22" s="12" t="s">
        <v>57</v>
      </c>
      <c r="C22" s="12" t="s">
        <v>57</v>
      </c>
      <c r="D22" s="12" t="s">
        <v>58</v>
      </c>
      <c r="E22" s="12" t="s">
        <v>58</v>
      </c>
    </row>
    <row r="23" spans="1:5">
      <c r="A23" s="8" t="s">
        <v>73</v>
      </c>
      <c r="B23" s="12" t="s">
        <v>57</v>
      </c>
      <c r="C23" s="12" t="s">
        <v>57</v>
      </c>
      <c r="D23" s="12" t="s">
        <v>58</v>
      </c>
      <c r="E23" s="12" t="s">
        <v>58</v>
      </c>
    </row>
    <row r="24" spans="1:5">
      <c r="A24" s="8" t="s">
        <v>74</v>
      </c>
      <c r="B24" s="12" t="s">
        <v>57</v>
      </c>
      <c r="C24" s="12" t="s">
        <v>57</v>
      </c>
      <c r="D24" s="12" t="s">
        <v>58</v>
      </c>
      <c r="E24" s="12" t="s">
        <v>58</v>
      </c>
    </row>
    <row r="25" spans="1:5">
      <c r="A25" s="8" t="s">
        <v>75</v>
      </c>
      <c r="B25" s="12" t="s">
        <v>57</v>
      </c>
      <c r="C25" s="12" t="s">
        <v>57</v>
      </c>
      <c r="D25" s="12" t="s">
        <v>58</v>
      </c>
      <c r="E25" s="12" t="s">
        <v>58</v>
      </c>
    </row>
    <row r="26" spans="1:5">
      <c r="A26" s="8" t="s">
        <v>76</v>
      </c>
      <c r="B26" s="12" t="s">
        <v>57</v>
      </c>
      <c r="C26" s="12" t="s">
        <v>57</v>
      </c>
      <c r="D26" s="12" t="s">
        <v>58</v>
      </c>
      <c r="E26" s="12" t="s">
        <v>58</v>
      </c>
    </row>
    <row r="27" spans="1:5">
      <c r="A27" s="8" t="s">
        <v>77</v>
      </c>
      <c r="B27" s="12" t="s">
        <v>57</v>
      </c>
      <c r="C27" s="12" t="s">
        <v>57</v>
      </c>
      <c r="D27" s="12" t="s">
        <v>58</v>
      </c>
      <c r="E27" s="12" t="s">
        <v>58</v>
      </c>
    </row>
    <row r="28" spans="1:5">
      <c r="A28" s="8" t="s">
        <v>78</v>
      </c>
      <c r="B28" s="12" t="s">
        <v>57</v>
      </c>
      <c r="C28" s="12" t="s">
        <v>57</v>
      </c>
      <c r="D28" s="12" t="s">
        <v>58</v>
      </c>
      <c r="E28" s="12" t="s">
        <v>58</v>
      </c>
    </row>
    <row r="29" spans="1:5">
      <c r="A29" s="8"/>
      <c r="B29" s="12"/>
      <c r="C29" s="12"/>
      <c r="D29" s="12"/>
      <c r="E29" s="12"/>
    </row>
    <row r="30" spans="1:5">
      <c r="A30" s="13" t="s">
        <v>79</v>
      </c>
    </row>
    <row r="31" spans="1:5">
      <c r="A31" s="8" t="s">
        <v>80</v>
      </c>
      <c r="B31" s="12" t="s">
        <v>57</v>
      </c>
      <c r="C31" s="12" t="s">
        <v>57</v>
      </c>
      <c r="D31" s="12" t="s">
        <v>57</v>
      </c>
      <c r="E31" s="12" t="s">
        <v>58</v>
      </c>
    </row>
    <row r="32" spans="1:5">
      <c r="A32" s="8" t="s">
        <v>81</v>
      </c>
      <c r="B32" s="12" t="s">
        <v>57</v>
      </c>
      <c r="C32" s="12" t="s">
        <v>57</v>
      </c>
      <c r="D32" s="12" t="s">
        <v>57</v>
      </c>
      <c r="E32" s="12" t="s">
        <v>58</v>
      </c>
    </row>
    <row r="33" spans="1:5">
      <c r="A33" s="8" t="s">
        <v>82</v>
      </c>
      <c r="B33" s="12" t="s">
        <v>57</v>
      </c>
      <c r="C33" s="12" t="s">
        <v>57</v>
      </c>
      <c r="D33" s="12" t="s">
        <v>57</v>
      </c>
      <c r="E33" s="12" t="s">
        <v>58</v>
      </c>
    </row>
    <row r="34" spans="1:5">
      <c r="A34" s="8" t="s">
        <v>83</v>
      </c>
      <c r="B34" s="12" t="s">
        <v>57</v>
      </c>
      <c r="C34" s="12" t="s">
        <v>57</v>
      </c>
      <c r="D34" s="12" t="s">
        <v>57</v>
      </c>
      <c r="E34" s="12" t="s">
        <v>58</v>
      </c>
    </row>
  </sheetData>
  <mergeCells>
    <mergeCell ref="A1:E1"/>
    <mergeCell ref="A16:E16"/>
    <mergeCell ref="A30:E30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D15"/>
  <sheetViews>
    <sheetView tabSelected="0" workbookViewId="0" showGridLines="true" showRowColHeaders="1">
      <selection activeCell="A15" sqref="A15:D15"/>
    </sheetView>
  </sheetViews>
  <sheetFormatPr defaultRowHeight="14.4" outlineLevelRow="0" outlineLevelCol="0"/>
  <cols>
    <col min="1" max="1" width="25" customWidth="true" style="0"/>
    <col min="2" max="2" width="50" customWidth="true" style="0"/>
    <col min="3" max="3" width="25" customWidth="true" style="0"/>
    <col min="4" max="4" width="50" customWidth="true" style="0"/>
  </cols>
  <sheetData>
    <row r="1" spans="1:4" customHeight="1" ht="40">
      <c r="A1" s="14" t="s">
        <v>84</v>
      </c>
    </row>
    <row r="3" spans="1:4" customHeight="1" ht="25">
      <c r="A3" s="7" t="s">
        <v>47</v>
      </c>
      <c r="B3" s="7" t="s">
        <v>85</v>
      </c>
      <c r="C3" s="7" t="s">
        <v>86</v>
      </c>
      <c r="D3" s="7" t="s">
        <v>87</v>
      </c>
    </row>
    <row r="4" spans="1:4" customHeight="1" ht="50">
      <c r="A4" s="15" t="s">
        <v>88</v>
      </c>
      <c r="B4" s="16" t="s">
        <v>89</v>
      </c>
      <c r="C4" s="16" t="s">
        <v>90</v>
      </c>
      <c r="D4" s="17" t="s">
        <v>91</v>
      </c>
    </row>
    <row r="5" spans="1:4" customHeight="1" ht="50">
      <c r="A5" s="15" t="s">
        <v>92</v>
      </c>
      <c r="B5" s="16" t="s">
        <v>93</v>
      </c>
      <c r="C5" s="16" t="s">
        <v>94</v>
      </c>
      <c r="D5" s="17" t="s">
        <v>95</v>
      </c>
    </row>
    <row r="6" spans="1:4" customHeight="1" ht="50">
      <c r="A6" s="15" t="s">
        <v>96</v>
      </c>
      <c r="B6" s="16" t="s">
        <v>97</v>
      </c>
      <c r="C6" s="16" t="s">
        <v>98</v>
      </c>
      <c r="D6" s="17" t="s">
        <v>99</v>
      </c>
    </row>
    <row r="7" spans="1:4" customHeight="1" ht="50">
      <c r="A7" s="15" t="s">
        <v>100</v>
      </c>
      <c r="B7" s="16" t="s">
        <v>101</v>
      </c>
      <c r="C7" s="16" t="s">
        <v>102</v>
      </c>
      <c r="D7" s="17" t="s">
        <v>103</v>
      </c>
    </row>
    <row r="8" spans="1:4" customHeight="1" ht="50">
      <c r="A8" s="15" t="s">
        <v>104</v>
      </c>
      <c r="B8" s="16" t="s">
        <v>105</v>
      </c>
      <c r="C8" s="16" t="s">
        <v>30</v>
      </c>
      <c r="D8" s="17" t="s">
        <v>106</v>
      </c>
    </row>
    <row r="9" spans="1:4" customHeight="1" ht="50">
      <c r="A9" s="15" t="s">
        <v>107</v>
      </c>
      <c r="B9" s="16" t="s">
        <v>108</v>
      </c>
      <c r="C9" s="16" t="s">
        <v>30</v>
      </c>
      <c r="D9" s="17" t="s">
        <v>109</v>
      </c>
    </row>
    <row r="10" spans="1:4" customHeight="1" ht="50">
      <c r="A10" s="15" t="s">
        <v>110</v>
      </c>
      <c r="B10" s="16" t="s">
        <v>111</v>
      </c>
      <c r="C10" s="16" t="s">
        <v>112</v>
      </c>
      <c r="D10" s="17" t="s">
        <v>113</v>
      </c>
    </row>
    <row r="11" spans="1:4" customHeight="1" ht="50">
      <c r="A11" s="15" t="s">
        <v>114</v>
      </c>
      <c r="B11" s="16" t="s">
        <v>115</v>
      </c>
      <c r="C11" s="16" t="s">
        <v>90</v>
      </c>
      <c r="D11" s="17" t="s">
        <v>116</v>
      </c>
    </row>
    <row r="12" spans="1:4" customHeight="1" ht="50">
      <c r="A12" s="15" t="s">
        <v>117</v>
      </c>
      <c r="B12" s="16" t="s">
        <v>118</v>
      </c>
      <c r="C12" s="16" t="s">
        <v>119</v>
      </c>
      <c r="D12" s="17" t="s">
        <v>120</v>
      </c>
    </row>
    <row r="13" spans="1:4" customHeight="1" ht="50">
      <c r="A13" s="15" t="s">
        <v>121</v>
      </c>
      <c r="B13" s="16" t="s">
        <v>122</v>
      </c>
      <c r="C13" s="16" t="s">
        <v>123</v>
      </c>
      <c r="D13" s="17" t="s">
        <v>124</v>
      </c>
    </row>
    <row r="14" spans="1:4" customHeight="1" ht="50">
      <c r="A14" s="15" t="s">
        <v>125</v>
      </c>
      <c r="B14" s="16" t="s">
        <v>126</v>
      </c>
      <c r="C14" s="16" t="s">
        <v>127</v>
      </c>
      <c r="D14" s="17" t="s">
        <v>128</v>
      </c>
    </row>
    <row r="15" spans="1:4" customHeight="1" ht="50">
      <c r="A15" s="15" t="s">
        <v>129</v>
      </c>
      <c r="B15" s="16" t="s">
        <v>130</v>
      </c>
      <c r="C15" s="16" t="s">
        <v>131</v>
      </c>
      <c r="D15" s="17" t="s">
        <v>132</v>
      </c>
    </row>
  </sheetData>
  <mergeCells>
    <mergeCell ref="A1:D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G11"/>
  <sheetViews>
    <sheetView tabSelected="0" workbookViewId="0" showGridLines="true" showRowColHeaders="1">
      <selection activeCell="A11" sqref="A11"/>
    </sheetView>
  </sheetViews>
  <sheetFormatPr defaultRowHeight="14.4" outlineLevelRow="0" outlineLevelCol="0"/>
  <cols>
    <col min="1" max="1" width="20" customWidth="true" style="0"/>
    <col min="2" max="2" width="16" customWidth="true" style="0"/>
    <col min="3" max="3" width="20" customWidth="true" style="0"/>
    <col min="4" max="4" width="16" customWidth="true" style="0"/>
    <col min="5" max="5" width="16" customWidth="true" style="0"/>
    <col min="6" max="6" width="16" customWidth="true" style="0"/>
    <col min="7" max="7" width="16" customWidth="true" style="0"/>
  </cols>
  <sheetData>
    <row r="1" spans="1:7" customHeight="1" ht="40">
      <c r="A1" s="18" t="s">
        <v>133</v>
      </c>
    </row>
    <row r="3" spans="1:7">
      <c r="A3" s="11" t="s">
        <v>134</v>
      </c>
      <c r="B3" s="11" t="s">
        <v>23</v>
      </c>
      <c r="C3" s="11" t="s">
        <v>135</v>
      </c>
      <c r="D3" s="11" t="s">
        <v>136</v>
      </c>
      <c r="E3" s="11" t="s">
        <v>137</v>
      </c>
      <c r="F3" s="11" t="s">
        <v>138</v>
      </c>
      <c r="G3" s="11" t="s">
        <v>139</v>
      </c>
    </row>
    <row r="4" spans="1:7">
      <c r="A4" s="9" t="s">
        <v>140</v>
      </c>
      <c r="B4" s="19" t="s">
        <v>37</v>
      </c>
      <c r="C4" s="19" t="s">
        <v>141</v>
      </c>
      <c r="D4" s="19" t="s">
        <v>58</v>
      </c>
      <c r="E4" s="19" t="s">
        <v>142</v>
      </c>
      <c r="F4" s="19" t="s">
        <v>58</v>
      </c>
      <c r="G4" s="19" t="s">
        <v>58</v>
      </c>
    </row>
    <row r="5" spans="1:7">
      <c r="A5" s="8" t="s">
        <v>143</v>
      </c>
      <c r="B5" s="12" t="s">
        <v>144</v>
      </c>
      <c r="C5" s="12" t="s">
        <v>57</v>
      </c>
      <c r="D5" s="12" t="s">
        <v>57</v>
      </c>
      <c r="E5" s="12" t="s">
        <v>145</v>
      </c>
      <c r="F5" s="12" t="s">
        <v>146</v>
      </c>
      <c r="G5" s="12" t="s">
        <v>58</v>
      </c>
    </row>
    <row r="6" spans="1:7">
      <c r="A6" s="8" t="s">
        <v>147</v>
      </c>
      <c r="B6" s="12" t="s">
        <v>148</v>
      </c>
      <c r="C6" s="12" t="s">
        <v>57</v>
      </c>
      <c r="D6" s="12" t="s">
        <v>57</v>
      </c>
      <c r="E6" s="12" t="s">
        <v>57</v>
      </c>
      <c r="F6" s="12" t="s">
        <v>58</v>
      </c>
      <c r="G6" s="12" t="s">
        <v>58</v>
      </c>
    </row>
    <row r="7" spans="1:7">
      <c r="A7" s="8" t="s">
        <v>149</v>
      </c>
      <c r="B7" s="12" t="s">
        <v>150</v>
      </c>
      <c r="C7" s="12" t="s">
        <v>57</v>
      </c>
      <c r="D7" s="12" t="s">
        <v>57</v>
      </c>
      <c r="E7" s="12" t="s">
        <v>145</v>
      </c>
      <c r="F7" s="12" t="s">
        <v>57</v>
      </c>
      <c r="G7" s="12" t="s">
        <v>58</v>
      </c>
    </row>
    <row r="8" spans="1:7">
      <c r="A8" s="8" t="s">
        <v>151</v>
      </c>
      <c r="B8" s="12" t="s">
        <v>152</v>
      </c>
      <c r="C8" s="12" t="s">
        <v>57</v>
      </c>
      <c r="D8" s="12" t="s">
        <v>57</v>
      </c>
      <c r="E8" s="12" t="s">
        <v>57</v>
      </c>
      <c r="F8" s="12" t="s">
        <v>58</v>
      </c>
      <c r="G8" s="12" t="s">
        <v>153</v>
      </c>
    </row>
    <row r="11" spans="1:7" customHeight="1" ht="30">
      <c r="A11" s="21" t="s">
        <v>154</v>
      </c>
    </row>
  </sheetData>
  <mergeCells>
    <mergeCell ref="A1:G1"/>
    <mergeCell ref="A11:G1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27"/>
  <sheetViews>
    <sheetView tabSelected="0" workbookViewId="0" showGridLines="true" showRowColHeaders="1">
      <selection activeCell="A27" sqref="A27:B27"/>
    </sheetView>
  </sheetViews>
  <sheetFormatPr defaultRowHeight="14.4" outlineLevelRow="0" outlineLevelCol="0"/>
  <cols>
    <col min="1" max="1" width="25" customWidth="true" style="0"/>
    <col min="2" max="2" width="90" customWidth="true" style="0"/>
  </cols>
  <sheetData>
    <row r="1" spans="1:2" customHeight="1" ht="40">
      <c r="A1" s="5" t="s">
        <v>155</v>
      </c>
    </row>
    <row r="3" spans="1:2">
      <c r="A3" s="22" t="s">
        <v>156</v>
      </c>
    </row>
    <row r="4" spans="1:2" customHeight="1" ht="50">
      <c r="A4" s="23" t="s">
        <v>157</v>
      </c>
      <c r="B4" s="16" t="s">
        <v>158</v>
      </c>
    </row>
    <row r="5" spans="1:2" customHeight="1" ht="50">
      <c r="A5" s="23"/>
      <c r="B5" s="16"/>
    </row>
    <row r="6" spans="1:2">
      <c r="A6" s="22" t="s">
        <v>159</v>
      </c>
    </row>
    <row r="7" spans="1:2" customHeight="1" ht="50">
      <c r="A7" s="23" t="s">
        <v>160</v>
      </c>
      <c r="B7" s="16" t="s">
        <v>161</v>
      </c>
    </row>
    <row r="8" spans="1:2" customHeight="1" ht="50">
      <c r="A8" s="23" t="s">
        <v>162</v>
      </c>
      <c r="B8" s="16" t="s">
        <v>163</v>
      </c>
    </row>
    <row r="9" spans="1:2" customHeight="1" ht="50">
      <c r="A9" s="23" t="s">
        <v>164</v>
      </c>
      <c r="B9" s="16" t="s">
        <v>165</v>
      </c>
    </row>
    <row r="10" spans="1:2" customHeight="1" ht="50">
      <c r="A10" s="23"/>
      <c r="B10" s="16"/>
    </row>
    <row r="11" spans="1:2">
      <c r="A11" s="22" t="s">
        <v>166</v>
      </c>
    </row>
    <row r="12" spans="1:2" customHeight="1" ht="50">
      <c r="A12" s="23" t="s">
        <v>167</v>
      </c>
      <c r="B12" s="16" t="s">
        <v>168</v>
      </c>
    </row>
    <row r="13" spans="1:2" customHeight="1" ht="50">
      <c r="A13" s="23" t="s">
        <v>169</v>
      </c>
      <c r="B13" s="16" t="s">
        <v>170</v>
      </c>
    </row>
    <row r="14" spans="1:2" customHeight="1" ht="50">
      <c r="A14" s="23" t="s">
        <v>171</v>
      </c>
      <c r="B14" s="16" t="s">
        <v>172</v>
      </c>
    </row>
    <row r="15" spans="1:2" customHeight="1" ht="50">
      <c r="A15" s="23" t="s">
        <v>173</v>
      </c>
      <c r="B15" s="16" t="s">
        <v>174</v>
      </c>
    </row>
    <row r="16" spans="1:2" customHeight="1" ht="50">
      <c r="A16" s="23"/>
      <c r="B16" s="16"/>
    </row>
    <row r="17" spans="1:2">
      <c r="A17" s="22" t="s">
        <v>175</v>
      </c>
    </row>
    <row r="18" spans="1:2" customHeight="1" ht="50">
      <c r="A18" s="23" t="s">
        <v>176</v>
      </c>
      <c r="B18" s="16" t="s">
        <v>177</v>
      </c>
    </row>
    <row r="19" spans="1:2" customHeight="1" ht="50">
      <c r="A19" s="23" t="s">
        <v>178</v>
      </c>
      <c r="B19" s="16" t="s">
        <v>179</v>
      </c>
    </row>
    <row r="20" spans="1:2" customHeight="1" ht="50">
      <c r="A20" s="23"/>
      <c r="B20" s="16"/>
    </row>
    <row r="21" spans="1:2">
      <c r="A21" s="22" t="s">
        <v>180</v>
      </c>
    </row>
    <row r="22" spans="1:2" customHeight="1" ht="50">
      <c r="A22" s="23" t="s">
        <v>181</v>
      </c>
      <c r="B22" s="16" t="s">
        <v>182</v>
      </c>
    </row>
    <row r="23" spans="1:2" customHeight="1" ht="50">
      <c r="A23" s="23" t="s">
        <v>183</v>
      </c>
      <c r="B23" s="16" t="s">
        <v>184</v>
      </c>
    </row>
    <row r="24" spans="1:2" customHeight="1" ht="50">
      <c r="A24" s="23" t="s">
        <v>185</v>
      </c>
      <c r="B24" s="16" t="s">
        <v>186</v>
      </c>
    </row>
    <row r="25" spans="1:2" customHeight="1" ht="50">
      <c r="A25" s="23" t="s">
        <v>187</v>
      </c>
      <c r="B25" s="16" t="s">
        <v>188</v>
      </c>
    </row>
    <row r="26" spans="1:2" customHeight="1" ht="50">
      <c r="A26" s="23" t="s">
        <v>189</v>
      </c>
      <c r="B26" s="16" t="s">
        <v>190</v>
      </c>
    </row>
    <row r="27" spans="1:2" customHeight="1" ht="50">
      <c r="A27" s="23" t="s">
        <v>191</v>
      </c>
      <c r="B27" s="16" t="s">
        <v>192</v>
      </c>
    </row>
  </sheetData>
  <mergeCells>
    <mergeCell ref="A1:B1"/>
    <mergeCell ref="A3:B3"/>
    <mergeCell ref="A6:B6"/>
    <mergeCell ref="A11:B11"/>
    <mergeCell ref="A17:B17"/>
    <mergeCell ref="A21:B2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C15"/>
  <sheetViews>
    <sheetView tabSelected="0" workbookViewId="0" showGridLines="true" showRowColHeaders="1">
      <selection activeCell="A15" sqref="A15:B15"/>
    </sheetView>
  </sheetViews>
  <sheetFormatPr defaultRowHeight="14.4" outlineLevelRow="0" outlineLevelCol="0"/>
  <cols>
    <col min="1" max="1" width="40" customWidth="true" style="0"/>
    <col min="2" max="2" width="18" customWidth="true" style="0"/>
    <col min="3" max="3" width="45" customWidth="true" style="0"/>
  </cols>
  <sheetData>
    <row r="1" spans="1:3" customHeight="1" ht="40">
      <c r="A1" s="24" t="s">
        <v>193</v>
      </c>
    </row>
    <row r="3" spans="1:3">
      <c r="A3" s="4" t="s">
        <v>194</v>
      </c>
    </row>
    <row r="4" spans="1:3">
      <c r="A4" s="8" t="s">
        <v>195</v>
      </c>
      <c r="B4" s="25">
        <v>80</v>
      </c>
      <c r="C4" s="8" t="s">
        <v>196</v>
      </c>
    </row>
    <row r="5" spans="1:3">
      <c r="A5" s="8" t="s">
        <v>197</v>
      </c>
      <c r="B5" s="25">
        <v>500</v>
      </c>
      <c r="C5" s="8" t="s">
        <v>198</v>
      </c>
    </row>
    <row r="6" spans="1:3">
      <c r="A6" s="8" t="s">
        <v>199</v>
      </c>
      <c r="B6" s="25">
        <v>10</v>
      </c>
      <c r="C6" s="8" t="s">
        <v>200</v>
      </c>
    </row>
    <row r="8" spans="1:3">
      <c r="A8" s="20" t="s">
        <v>201</v>
      </c>
    </row>
    <row r="9" spans="1:3">
      <c r="A9" s="8" t="s">
        <v>202</v>
      </c>
      <c r="B9" s="28">
        <f>B6*0.6*4*(B5/0.5)</f>
        <v>24000</v>
      </c>
      <c r="C9" s="8" t="s">
        <v>203</v>
      </c>
    </row>
    <row r="10" spans="1:3">
      <c r="A10" s="8" t="s">
        <v>204</v>
      </c>
      <c r="B10" s="28">
        <f>B4*0.08*B5</f>
        <v>3200</v>
      </c>
      <c r="C10" s="8" t="s">
        <v>205</v>
      </c>
    </row>
    <row r="11" spans="1:3">
      <c r="A11" s="8" t="s">
        <v>206</v>
      </c>
      <c r="B11" s="28">
        <f>20*B5*0.15</f>
        <v>1500</v>
      </c>
      <c r="C11" s="8" t="s">
        <v>207</v>
      </c>
    </row>
    <row r="12" spans="1:3">
      <c r="A12" s="27" t="s">
        <v>208</v>
      </c>
      <c r="B12" s="29">
        <f>B9+B10+B11</f>
        <v>28700</v>
      </c>
      <c r="C12" s="27" t="s">
        <v>209</v>
      </c>
    </row>
    <row r="14" spans="1:3">
      <c r="A14" t="s">
        <v>210</v>
      </c>
      <c r="B14" s="26">
        <v>599</v>
      </c>
    </row>
    <row r="15" spans="1:3">
      <c r="A15" s="30" t="s">
        <v>211</v>
      </c>
      <c r="B15" s="31">
        <f>B12/B14</f>
        <v>47.91318864774625</v>
      </c>
    </row>
  </sheetData>
  <mergeCells>
    <mergeCell ref="A1:C1"/>
    <mergeCell ref="A3:C3"/>
    <mergeCell ref="A8:C8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D18"/>
  <sheetViews>
    <sheetView tabSelected="0" workbookViewId="0" showGridLines="true" showRowColHeaders="1">
      <selection activeCell="A18" sqref="A18:D18"/>
    </sheetView>
  </sheetViews>
  <sheetFormatPr defaultRowHeight="14.4" outlineLevelRow="0" outlineLevelCol="0"/>
  <cols>
    <col min="1" max="1" width="18" customWidth="true" style="0"/>
    <col min="2" max="2" width="22" customWidth="true" style="0"/>
    <col min="3" max="3" width="28" customWidth="true" style="0"/>
    <col min="4" max="4" width="25" customWidth="true" style="0"/>
  </cols>
  <sheetData>
    <row r="1" spans="1:4" customHeight="1" ht="40">
      <c r="A1" s="32" t="s">
        <v>212</v>
      </c>
    </row>
    <row r="3" spans="1:4">
      <c r="A3" s="33" t="s">
        <v>213</v>
      </c>
    </row>
    <row r="4" spans="1:4">
      <c r="A4" s="34" t="s">
        <v>214</v>
      </c>
    </row>
    <row r="6" spans="1:4" customHeight="1" ht="25">
      <c r="A6" s="11" t="s">
        <v>22</v>
      </c>
      <c r="B6" s="11" t="s">
        <v>215</v>
      </c>
      <c r="C6" s="11" t="s">
        <v>216</v>
      </c>
      <c r="D6" s="11" t="s">
        <v>217</v>
      </c>
    </row>
    <row r="7" spans="1:4">
      <c r="A7" s="12" t="s">
        <v>48</v>
      </c>
      <c r="B7" s="12" t="s">
        <v>29</v>
      </c>
      <c r="C7" s="12" t="s">
        <v>29</v>
      </c>
      <c r="D7" s="12" t="s">
        <v>218</v>
      </c>
    </row>
    <row r="8" spans="1:4">
      <c r="A8" s="12" t="s">
        <v>219</v>
      </c>
      <c r="B8" s="12" t="s">
        <v>33</v>
      </c>
      <c r="C8" s="12" t="s">
        <v>29</v>
      </c>
      <c r="D8" s="12" t="s">
        <v>218</v>
      </c>
    </row>
    <row r="9" spans="1:4">
      <c r="A9" s="19" t="s">
        <v>220</v>
      </c>
      <c r="B9" s="19" t="s">
        <v>37</v>
      </c>
      <c r="C9" s="19" t="s">
        <v>221</v>
      </c>
      <c r="D9" s="19" t="s">
        <v>222</v>
      </c>
    </row>
    <row r="10" spans="1:4">
      <c r="A10" s="19" t="s">
        <v>223</v>
      </c>
      <c r="B10" s="19" t="s">
        <v>42</v>
      </c>
      <c r="C10" s="19" t="s">
        <v>224</v>
      </c>
      <c r="D10" s="19" t="s">
        <v>225</v>
      </c>
    </row>
    <row r="13" spans="1:4">
      <c r="A13" s="35" t="s">
        <v>226</v>
      </c>
    </row>
    <row r="15" spans="1:4">
      <c r="A15" s="36" t="s">
        <v>227</v>
      </c>
      <c r="B15" s="36" t="s">
        <v>228</v>
      </c>
      <c r="C15" s="36" t="s">
        <v>229</v>
      </c>
      <c r="D15" s="36" t="s">
        <v>230</v>
      </c>
    </row>
    <row r="16" spans="1:4">
      <c r="A16" s="12" t="s">
        <v>231</v>
      </c>
      <c r="B16" s="12" t="s">
        <v>232</v>
      </c>
      <c r="C16" s="12" t="s">
        <v>233</v>
      </c>
      <c r="D16" s="12" t="s">
        <v>234</v>
      </c>
    </row>
    <row r="17" spans="1:4">
      <c r="A17" s="12" t="s">
        <v>235</v>
      </c>
      <c r="B17" s="12" t="s">
        <v>236</v>
      </c>
      <c r="C17" s="12" t="s">
        <v>237</v>
      </c>
      <c r="D17" s="12" t="s">
        <v>238</v>
      </c>
    </row>
    <row r="18" spans="1:4">
      <c r="A18" s="12" t="s">
        <v>239</v>
      </c>
      <c r="B18" s="12" t="s">
        <v>240</v>
      </c>
      <c r="C18" s="12" t="s">
        <v>241</v>
      </c>
      <c r="D18" s="12" t="s">
        <v>242</v>
      </c>
    </row>
  </sheetData>
  <mergeCells>
    <mergeCell ref="A1:D1"/>
    <mergeCell ref="A3:D3"/>
    <mergeCell ref="A4:D4"/>
    <mergeCell ref="A13:D13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10"/>
  <sheetViews>
    <sheetView tabSelected="0" workbookViewId="0" showGridLines="true" showRowColHeaders="1">
      <selection activeCell="A10" sqref="A10:B10"/>
    </sheetView>
  </sheetViews>
  <sheetFormatPr defaultRowHeight="14.4" outlineLevelRow="0" outlineLevelCol="0"/>
  <cols>
    <col min="1" max="1" width="40" customWidth="true" style="0"/>
    <col min="2" max="2" width="60" customWidth="true" style="0"/>
  </cols>
  <sheetData>
    <row r="1" spans="1:2" customHeight="1" ht="40">
      <c r="A1" s="5" t="s">
        <v>243</v>
      </c>
    </row>
    <row r="3" spans="1:2" customHeight="1" ht="25">
      <c r="A3" s="37" t="s">
        <v>244</v>
      </c>
      <c r="B3" s="38" t="s">
        <v>245</v>
      </c>
    </row>
    <row r="4" spans="1:2" customHeight="1" ht="25">
      <c r="A4" s="37" t="s">
        <v>246</v>
      </c>
      <c r="B4" s="38" t="s">
        <v>247</v>
      </c>
    </row>
    <row r="5" spans="1:2" customHeight="1" ht="25">
      <c r="A5" s="37" t="s">
        <v>248</v>
      </c>
      <c r="B5" s="38" t="s">
        <v>249</v>
      </c>
    </row>
    <row r="6" spans="1:2" customHeight="1" ht="25">
      <c r="A6" s="37" t="s">
        <v>250</v>
      </c>
      <c r="B6" s="38" t="s">
        <v>251</v>
      </c>
    </row>
    <row r="7" spans="1:2" customHeight="1" ht="25">
      <c r="A7" s="37" t="s">
        <v>252</v>
      </c>
      <c r="B7" s="38" t="s">
        <v>253</v>
      </c>
    </row>
    <row r="8" spans="1:2" customHeight="1" ht="25">
      <c r="A8" s="37" t="s">
        <v>254</v>
      </c>
      <c r="B8" s="38" t="s">
        <v>255</v>
      </c>
    </row>
    <row r="9" spans="1:2" customHeight="1" ht="25">
      <c r="A9" s="37" t="s">
        <v>256</v>
      </c>
      <c r="B9" s="38" t="s">
        <v>257</v>
      </c>
    </row>
    <row r="10" spans="1:2" customHeight="1" ht="25">
      <c r="A10" s="37" t="s">
        <v>258</v>
      </c>
      <c r="B10" s="38" t="s">
        <v>259</v>
      </c>
    </row>
  </sheetData>
  <mergeCells>
    <mergeCell ref="A1:B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C16"/>
  <sheetViews>
    <sheetView tabSelected="1" workbookViewId="0" showGridLines="true" showRowColHeaders="1">
      <selection activeCell="A16" sqref="A16:C16"/>
    </sheetView>
  </sheetViews>
  <sheetFormatPr defaultRowHeight="14.4" outlineLevelRow="0" outlineLevelCol="0"/>
  <cols>
    <col min="1" max="1" width="6" customWidth="true" style="0"/>
    <col min="2" max="2" width="30" customWidth="true" style="0"/>
    <col min="3" max="3" width="60" customWidth="true" style="0"/>
  </cols>
  <sheetData>
    <row r="1" spans="1:3" customHeight="1" ht="40">
      <c r="A1" s="5" t="s">
        <v>260</v>
      </c>
    </row>
    <row r="3" spans="1:3" customHeight="1" ht="25">
      <c r="A3" s="39" t="s">
        <v>261</v>
      </c>
      <c r="B3" s="40" t="s">
        <v>262</v>
      </c>
      <c r="C3" s="8" t="s">
        <v>263</v>
      </c>
    </row>
    <row r="4" spans="1:3" customHeight="1" ht="25">
      <c r="A4" s="39" t="s">
        <v>261</v>
      </c>
      <c r="B4" s="40" t="s">
        <v>264</v>
      </c>
      <c r="C4" s="8" t="s">
        <v>265</v>
      </c>
    </row>
    <row r="5" spans="1:3" customHeight="1" ht="25">
      <c r="A5" s="39" t="s">
        <v>261</v>
      </c>
      <c r="B5" s="40" t="s">
        <v>266</v>
      </c>
      <c r="C5" s="8" t="s">
        <v>267</v>
      </c>
    </row>
    <row r="6" spans="1:3" customHeight="1" ht="25">
      <c r="A6" s="39" t="s">
        <v>261</v>
      </c>
      <c r="B6" s="40" t="s">
        <v>268</v>
      </c>
      <c r="C6" s="8" t="s">
        <v>269</v>
      </c>
    </row>
    <row r="7" spans="1:3" customHeight="1" ht="25">
      <c r="A7" s="39" t="s">
        <v>261</v>
      </c>
      <c r="B7" s="40" t="s">
        <v>270</v>
      </c>
      <c r="C7" s="8" t="s">
        <v>271</v>
      </c>
    </row>
    <row r="8" spans="1:3" customHeight="1" ht="25">
      <c r="A8" s="39" t="s">
        <v>261</v>
      </c>
      <c r="B8" s="40" t="s">
        <v>272</v>
      </c>
      <c r="C8" s="8" t="s">
        <v>273</v>
      </c>
    </row>
    <row r="9" spans="1:3" customHeight="1" ht="25">
      <c r="A9" s="39" t="s">
        <v>261</v>
      </c>
      <c r="B9" s="40" t="s">
        <v>274</v>
      </c>
      <c r="C9" s="8" t="s">
        <v>275</v>
      </c>
    </row>
    <row r="10" spans="1:3" customHeight="1" ht="25">
      <c r="A10" s="39" t="s">
        <v>261</v>
      </c>
      <c r="B10" s="40" t="s">
        <v>276</v>
      </c>
      <c r="C10" s="8" t="s">
        <v>277</v>
      </c>
    </row>
    <row r="11" spans="1:3" customHeight="1" ht="25">
      <c r="A11" s="39" t="s">
        <v>261</v>
      </c>
      <c r="B11" s="40" t="s">
        <v>278</v>
      </c>
      <c r="C11" s="8" t="s">
        <v>279</v>
      </c>
    </row>
    <row r="12" spans="1:3" customHeight="1" ht="25">
      <c r="A12" s="39" t="s">
        <v>261</v>
      </c>
      <c r="B12" s="40" t="s">
        <v>280</v>
      </c>
      <c r="C12" s="8" t="s">
        <v>281</v>
      </c>
    </row>
    <row r="13" spans="1:3" customHeight="1" ht="25">
      <c r="A13" s="39" t="s">
        <v>261</v>
      </c>
      <c r="B13" s="40" t="s">
        <v>282</v>
      </c>
      <c r="C13" s="8" t="s">
        <v>283</v>
      </c>
    </row>
    <row r="14" spans="1:3" customHeight="1" ht="25">
      <c r="A14" s="39" t="s">
        <v>261</v>
      </c>
      <c r="B14" s="40" t="s">
        <v>284</v>
      </c>
      <c r="C14" s="8" t="s">
        <v>285</v>
      </c>
    </row>
    <row r="15" spans="1:3" customHeight="1" ht="25">
      <c r="A15" s="39" t="s">
        <v>261</v>
      </c>
      <c r="B15" s="40" t="s">
        <v>286</v>
      </c>
      <c r="C15" s="8" t="s">
        <v>287</v>
      </c>
    </row>
    <row r="16" spans="1:3" customHeight="1" ht="25">
      <c r="A16" s="39" t="s">
        <v>261</v>
      </c>
      <c r="B16" s="40" t="s">
        <v>288</v>
      </c>
      <c r="C16" s="8" t="s">
        <v>289</v>
      </c>
    </row>
  </sheetData>
  <mergeCells>
    <mergeCell ref="A1:C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Portada</vt:lpstr>
      <vt:lpstr>Planes y Precios</vt:lpstr>
      <vt:lpstr>Features por Plan</vt:lpstr>
      <vt:lpstr>Features IA</vt:lpstr>
      <vt:lpstr>vs Competencia</vt:lpstr>
      <vt:lpstr>Script de Venta</vt:lpstr>
      <vt:lpstr>Calculadora ROI</vt:lpstr>
      <vt:lpstr>Comisiones</vt:lpstr>
      <vt:lpstr>Links y Recursos</vt:lpstr>
      <vt:lpstr>Checklist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2026-04-11T10:03:46+00:00</dcterms:created>
  <dcterms:modified xsi:type="dcterms:W3CDTF">2026-04-11T10:03:46+00:00</dcterms:modified>
  <dc:title>Untitled Spreadsheet</dc:title>
  <dc:description/>
  <dc:subject/>
  <cp:keywords/>
  <cp:category/>
</cp:coreProperties>
</file>