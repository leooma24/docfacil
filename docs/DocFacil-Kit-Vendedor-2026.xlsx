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Portada" sheetId="1" r:id="rId4"/>
    <sheet name="Planes y Precios" sheetId="2" r:id="rId5"/>
    <sheet name="Features por Plan" sheetId="3" r:id="rId6"/>
    <sheet name="vs Competencia" sheetId="4" r:id="rId7"/>
    <sheet name="Script de Venta" sheetId="5" r:id="rId8"/>
    <sheet name="Calculadora ROI" sheetId="6" r:id="rId9"/>
    <sheet name="Comisiones" sheetId="7" r:id="rId10"/>
    <sheet name="Links y Recursos" sheetId="8" r:id="rId11"/>
    <sheet name="Checklist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<sst xmlns="http://schemas.openxmlformats.org/spreadsheetml/2006/main" uniqueCount="236">
  <si>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DocFácil — Kit de Vendedor 2026</t>
  </si>
  <si>
    <t>Software para consultorios médicos y dentales en México</t>
  </si>
  <si>
    <t>ÍNDICE DEL KIT</t>
  </si>
  <si>
    <t>1. Planes y Precios</t>
  </si>
  <si>
    <t>Tabla completa con todos los planes, precios y features</t>
  </si>
  <si>
    <t>2. Features por Plan</t>
  </si>
  <si>
    <t>Comparativa detallada de qué incluye cada plan</t>
  </si>
  <si>
    <t>3. Competencia</t>
  </si>
  <si>
    <t>Comparativa vs SimplyBook, Abysmed, Doctoralia, iPraxis</t>
  </si>
  <si>
    <t>4. Script de Venta</t>
  </si>
  <si>
    <t>Argumentos clave y respuestas a objeciones</t>
  </si>
  <si>
    <t>5. Calculadora ROI</t>
  </si>
  <si>
    <t>Hoja interactiva para calcular ahorro del doctor</t>
  </si>
  <si>
    <t>6. Comisiones</t>
  </si>
  <si>
    <t>Cuánto ganas por cada venta (50% primer pago, 50% segundo)</t>
  </si>
  <si>
    <t>7. Links y Demos</t>
  </si>
  <si>
    <t>URLs importantes: demo, landing, WhatsApp soporte</t>
  </si>
  <si>
    <t>8. Checklist de Venta</t>
  </si>
  <si>
    <t>Pasos para cerrar un cliente</t>
  </si>
  <si>
    <t>💰 PLANES Y PRECIOS</t>
  </si>
  <si>
    <t>Plan</t>
  </si>
  <si>
    <t>Precio /mes</t>
  </si>
  <si>
    <t>Precio Fundador</t>
  </si>
  <si>
    <t>Doctores</t>
  </si>
  <si>
    <t>Pacientes</t>
  </si>
  <si>
    <t>Target</t>
  </si>
  <si>
    <t>FREE</t>
  </si>
  <si>
    <t>$0</t>
  </si>
  <si>
    <t>—</t>
  </si>
  <si>
    <t>Doctores curiosos. Sin comisión. Gancho para conversión.</t>
  </si>
  <si>
    <t>BÁSICO</t>
  </si>
  <si>
    <t>$149</t>
  </si>
  <si>
    <t>$74 (50% off)</t>
  </si>
  <si>
    <t>Doctores individuales. Comisión: $223.50 por venta.</t>
  </si>
  <si>
    <t>PRO ⭐</t>
  </si>
  <si>
    <t>$299</t>
  </si>
  <si>
    <t>$149 (50% off)</t>
  </si>
  <si>
    <t>Ilimitados</t>
  </si>
  <si>
    <t>EL QUE MÁS VENDE. Odontograma + Portal + Multi-doctor. Comisión: $448.50 por venta.</t>
  </si>
  <si>
    <t>CLÍNICA</t>
  </si>
  <si>
    <t>$499</t>
  </si>
  <si>
    <t>$249 (50% off)</t>
  </si>
  <si>
    <t>Clínicas grandes. Comisión: $748.50 por venta.</t>
  </si>
  <si>
    <t>✅ TODOS los planes de pago (Básico, Pro y Clínica) pagan comisión. Solo el plan Free NO.</t>
  </si>
  <si>
    <t>✨ FEATURES INCLUIDAS POR PLAN</t>
  </si>
  <si>
    <t>Feature</t>
  </si>
  <si>
    <t>Free</t>
  </si>
  <si>
    <t>Básico $149</t>
  </si>
  <si>
    <t>Pro $299</t>
  </si>
  <si>
    <t>Clínica $499</t>
  </si>
  <si>
    <t>👥 Pacientes</t>
  </si>
  <si>
    <t>📅 Citas por mes</t>
  </si>
  <si>
    <t>Ilimitadas</t>
  </si>
  <si>
    <t>👨‍⚕️ Doctores</t>
  </si>
  <si>
    <t>🏢 Multi-sucursal</t>
  </si>
  <si>
    <t>❌</t>
  </si>
  <si>
    <t>✅</t>
  </si>
  <si>
    <t>════ ESENCIALES ════</t>
  </si>
  <si>
    <t>📄 Recetas PDF profesionales</t>
  </si>
  <si>
    <t>📱 Recordatorios WhatsApp</t>
  </si>
  <si>
    <t>💬 Cobro por WhatsApp</t>
  </si>
  <si>
    <t>📲 Check-in con QR</t>
  </si>
  <si>
    <t>📋 Expediente clínico completo</t>
  </si>
  <si>
    <t>════ PRO ════</t>
  </si>
  <si>
    <t>🦷 Odontograma interactivo</t>
  </si>
  <si>
    <t>✍️ Firma digital</t>
  </si>
  <si>
    <t>📋 Consentimientos digitales</t>
  </si>
  <si>
    <t>👥 Portal del paciente</t>
  </si>
  <si>
    <t>📊 Reportes avanzados</t>
  </si>
  <si>
    <t>════ CLÍNICA ════</t>
  </si>
  <si>
    <t>📈 Reportes por doctor</t>
  </si>
  <si>
    <t>💰 Comisiones entre doctores</t>
  </si>
  <si>
    <t>⭐ Soporte prioritario</t>
  </si>
  <si>
    <t>🎯 Onboarding 1 a 1</t>
  </si>
  <si>
    <t>⚔️ DOCFÁCIL vs COMPETENCIA</t>
  </si>
  <si>
    <t>Software</t>
  </si>
  <si>
    <t>Odontograma</t>
  </si>
  <si>
    <t>Firma digital</t>
  </si>
  <si>
    <t>WhatsApp</t>
  </si>
  <si>
    <t>Recetas PDF</t>
  </si>
  <si>
    <t>Nube</t>
  </si>
  <si>
    <t>DocFácil PRO ⭐</t>
  </si>
  <si>
    <t>✅ Automático</t>
  </si>
  <si>
    <t>SimplyBook.me</t>
  </si>
  <si>
    <t>$800+</t>
  </si>
  <si>
    <t>⚠️ Básico</t>
  </si>
  <si>
    <t>⚠️</t>
  </si>
  <si>
    <t>Abysmed</t>
  </si>
  <si>
    <t>$1,200+</t>
  </si>
  <si>
    <t>Doctoralia</t>
  </si>
  <si>
    <t>$1,500+</t>
  </si>
  <si>
    <t>iPraxis</t>
  </si>
  <si>
    <t>$700</t>
  </si>
  <si>
    <t>❌ Local</t>
  </si>
  <si>
    <t>💡 KEY INSIGHT: Eres el MÁS BARATO con odontograma, firma digital y WhatsApp automático del mercado mexicano.</t>
  </si>
  <si>
    <t>📞 SCRIPT DE VENTA + OBJECIONES</t>
  </si>
  <si>
    <t>APERTURA</t>
  </si>
  <si>
    <t>Saludo inicial</t>
  </si>
  <si>
    <t>"Hola Dr./Dra. [Nombre], soy [Tu nombre] de DocFácil. Te contacto porque ayudamos a doctores como tú a organizar su consultorio, recordar citas por WhatsApp automático y ahorrar 2 horas al día. ¿Tienes 3 minutos?"</t>
  </si>
  <si>
    <t>DOLOR</t>
  </si>
  <si>
    <t>Pregunta clave</t>
  </si>
  <si>
    <t>"Doctor, ¿cuánto tiempo al día pasas organizando citas en libreta o Excel?"</t>
  </si>
  <si>
    <t>Pregunta 2</t>
  </si>
  <si>
    <t>"¿Cuántos pacientes se te van porque no se enteran que tienen cita?"</t>
  </si>
  <si>
    <t>Pregunta 3</t>
  </si>
  <si>
    <t>"¿Cobras efectivo o pierdes ventas porque el paciente no trae dinero?"</t>
  </si>
  <si>
    <t>DEMO</t>
  </si>
  <si>
    <t>Punto 1</t>
  </si>
  <si>
    <t>Muestra AGENDA: "Aquí ves tu agenda del mes, arrastras citas para reagendar, bloqueas horarios con un clic."</t>
  </si>
  <si>
    <t>Punto 2</t>
  </si>
  <si>
    <t>Muestra RECORDATORIOS: "Cada cita genera recordatorio automático 24h y 2h antes por WhatsApp."</t>
  </si>
  <si>
    <t>Punto 3</t>
  </si>
  <si>
    <t>Muestra RECETAS PDF: "Al terminar la consulta, un clic y se genera receta con tu cédula, membrete y firma."</t>
  </si>
  <si>
    <t>Punto 4</t>
  </si>
  <si>
    <t>Muestra COBRO WhatsApp: "Al terminar la consulta, un clic y el paciente recibe el cobro."</t>
  </si>
  <si>
    <t>Punto 5</t>
  </si>
  <si>
    <t>Muestra ODONTOGRAMA/EXPEDIENTE: "Todo el historial clínico del paciente en una pantalla, con alertas de alergias y antecedentes."</t>
  </si>
  <si>
    <t>CIERRE</t>
  </si>
  <si>
    <t>Frase de cierre</t>
  </si>
  <si>
    <t>"Doctor, por $299 al mes ahorras 2 horas al día y recuperas 8 pacientes que antes no llegaban = $4,800 extra al mes. DocFácil se paga 16 veces."</t>
  </si>
  <si>
    <t>Call to action</t>
  </si>
  <si>
    <t>"Te doy 14 días gratis con todas las features. Sin tarjeta. ¿A qué hora te puedo ayudar a configurarlo?"</t>
  </si>
  <si>
    <t>OBJECIONES</t>
  </si>
  <si>
    <t>"Es caro"</t>
  </si>
  <si>
    <t>"Doctor, ¿cuánto cobras por consulta? ¿$500? DocFácil Pro cuesta MENOS de 1 consulta al mes y te ahorra 8 pacientes en recordatorios WhatsApp. Se paga 16 veces."</t>
  </si>
  <si>
    <t>"No soy tecnológico"</t>
  </si>
  <si>
    <t>"Por eso lo diseñamos simple. Si sabes usar WhatsApp, sabes usar DocFácil. Te acompañamos en la configuración inicial sin costo."</t>
  </si>
  <si>
    <t>"Ya tengo software"</t>
  </si>
  <si>
    <t>"¿Es en la nube o instalado en una sola compu? ¿Manda recordatorios WhatsApp automáticos? ¿Tiene portal del paciente? Pruébalo 14 días gratis sin cancelar lo actual."</t>
  </si>
  <si>
    <t>"Mis datos están seguros?"</t>
  </si>
  <si>
    <t>"Absolutamente. Encriptación SSL, backups automáticos diarios, tus datos están separados de otras clínicas. Cumplimos con todas las normas mexicanas."</t>
  </si>
  <si>
    <t>"Y si no me gusta?"</t>
  </si>
  <si>
    <t>"Cancelas cuando quieras, sin penalización. Primeros 14 días son gratis sin tarjeta. Solo pagas si te gusta."</t>
  </si>
  <si>
    <t>"Necesito pensarlo"</t>
  </si>
  <si>
    <t>"Entiendo doctor. Te activo los 14 días gratis ya, pruébalo con tus pacientes de mañana, si no te gusta, no pasa nada. ¿Cuál es tu WhatsApp?"</t>
  </si>
  <si>
    <t>💸 CALCULADORA DE ROI (edita las celdas amarillas)</t>
  </si>
  <si>
    <t>INPUTS DEL DOCTOR</t>
  </si>
  <si>
    <t>Pacientes al mes</t>
  </si>
  <si>
    <t>Pacientes que atiendes mensualmente</t>
  </si>
  <si>
    <t>Precio por consulta (MXN)</t>
  </si>
  <si>
    <t>Lo que cobras por consulta promedio</t>
  </si>
  <si>
    <t>Horas/semana en papeleo</t>
  </si>
  <si>
    <t>Horas que gastas en admin, no atendiendo</t>
  </si>
  <si>
    <t>CÁLCULO DE AHORRO</t>
  </si>
  <si>
    <t>Ahorro en tiempo (DocFácil reduce 60% admin)</t>
  </si>
  <si>
    <t>Horas liberadas x tarifa/hora</t>
  </si>
  <si>
    <t>Retención por WhatsApp (reduce 8% no-shows)</t>
  </si>
  <si>
    <t>Citas que se salvan x precio</t>
  </si>
  <si>
    <t>TOTAL AHORRO/MES</t>
  </si>
  <si>
    <t>Total mensual ganado con DocFácil</t>
  </si>
  <si>
    <t>Precio DocFácil Pro</t>
  </si>
  <si>
    <t>ROI (cuántas veces paga DocFácil)</t>
  </si>
  <si>
    <t>💰 ESQUEMA DE COMISIONES</t>
  </si>
  <si>
    <t>🎯 GANAS 1.5 MENSUALIDADES POR CADA CLIENTE DE PAGO (Básico, Pro o Clínica)</t>
  </si>
  <si>
    <t>Se paga 50% con el primer pago del cliente, 50% con el segundo pago</t>
  </si>
  <si>
    <t>Precio cliente/mes</t>
  </si>
  <si>
    <t>Comisión total (1.5x)</t>
  </si>
  <si>
    <t>½ primer pago + ½ segundo pago</t>
  </si>
  <si>
    <t>Sin comisión</t>
  </si>
  <si>
    <t>Básico</t>
  </si>
  <si>
    <t>$223.50</t>
  </si>
  <si>
    <t>$111.75 + $111.75</t>
  </si>
  <si>
    <t>Pro ⭐</t>
  </si>
  <si>
    <t>$448.50</t>
  </si>
  <si>
    <t>$224.25 + $224.25</t>
  </si>
  <si>
    <t>Clínica</t>
  </si>
  <si>
    <t>$748.50</t>
  </si>
  <si>
    <t>$374.25 + $374.25</t>
  </si>
  <si>
    <t>📊 METAS MENSUALES PARA VENDEDOR</t>
  </si>
  <si>
    <t>Nivel</t>
  </si>
  <si>
    <t>Ventas/mes</t>
  </si>
  <si>
    <t>Mix</t>
  </si>
  <si>
    <t>Comisión aproximada</t>
  </si>
  <si>
    <t>Starter</t>
  </si>
  <si>
    <t>3 Básico + 2 Pro</t>
  </si>
  <si>
    <t>3x$223.50 + 2x$448.50</t>
  </si>
  <si>
    <t>$1,567.50</t>
  </si>
  <si>
    <t>Medium</t>
  </si>
  <si>
    <t>5 Pro + 1 Clínica</t>
  </si>
  <si>
    <t>5x$448.50 + 1x$748.50</t>
  </si>
  <si>
    <t>$2,991</t>
  </si>
  <si>
    <t>Top</t>
  </si>
  <si>
    <t>10 Pro + 2 Clínica</t>
  </si>
  <si>
    <t>10x$448.50 + 2x$748.50</t>
  </si>
  <si>
    <t>$5,982</t>
  </si>
  <si>
    <t>Elite</t>
  </si>
  <si>
    <t>5 Básico + 10 Pro + 3 Clínica</t>
  </si>
  <si>
    <t>Mix completo</t>
  </si>
  <si>
    <t>$7,843.50</t>
  </si>
  <si>
    <t>🔗 LINKS IMPORTANTES</t>
  </si>
  <si>
    <t>Landing page</t>
  </si>
  <si>
    <t>https://docfacil.tu-app.co</t>
  </si>
  <si>
    <t>Demo para vendedor (crea clínica temporal)</t>
  </si>
  <si>
    <t>https://docfacil.tu-app.co/demo-vendedor</t>
  </si>
  <si>
    <t>Demo público para prospecto</t>
  </si>
  <si>
    <t>https://docfacil.tu-app.co/demo</t>
  </si>
  <si>
    <t>Registro gratis (doctor)</t>
  </si>
  <si>
    <t>https://docfacil.tu-app.co/doctor/register</t>
  </si>
  <si>
    <t>Panel de admin de doctor</t>
  </si>
  <si>
    <t>https://docfacil.tu-app.co/doctor</t>
  </si>
  <si>
    <t>WhatsApp soporte</t>
  </si>
  <si>
    <t>https://wa.me/526682493398</t>
  </si>
  <si>
    <t>Términos y condiciones</t>
  </si>
  <si>
    <t>https://docfacil.tu-app.co/terminos</t>
  </si>
  <si>
    <t>Política de privacidad</t>
  </si>
  <si>
    <t>https://docfacil.tu-app.co/privacidad</t>
  </si>
  <si>
    <t>✅ CHECKLIST PARA CERRAR UNA VENTA</t>
  </si>
  <si>
    <t>☐</t>
  </si>
  <si>
    <t>Antes del primer contacto</t>
  </si>
  <si>
    <t>Investigar la clínica: especialidad, tamaño, redes sociales</t>
  </si>
  <si>
    <t>Abrir demo-vendedor</t>
  </si>
  <si>
    <t>Tener la sesión demo lista en otra pestaña</t>
  </si>
  <si>
    <t>Contacto inicial</t>
  </si>
  <si>
    <t>Llamada o WhatsApp al doctor (NO email frío)</t>
  </si>
  <si>
    <t>Romper el hielo</t>
  </si>
  <si>
    <t>Hacer pregunta sobre su dolor (tiempo, no-shows, cobros)</t>
  </si>
  <si>
    <t>Demo en vivo</t>
  </si>
  <si>
    <t>Mostrar agenda + recordatorios WhatsApp + recetas PDF + cobro por WhatsApp</t>
  </si>
  <si>
    <t>Cotización</t>
  </si>
  <si>
    <t>Mostrar Plan Pro $299 con 50% descuento = $149 de por vida (fundador)</t>
  </si>
  <si>
    <t>Objeciones</t>
  </si>
  <si>
    <t>Usar respuestas del script (hoja "Script de Venta")</t>
  </si>
  <si>
    <t>Ofrecer trial 14 días</t>
  </si>
  <si>
    <t>Sin tarjeta de crédito, sin compromiso</t>
  </si>
  <si>
    <t>Crear cuenta en su presencia</t>
  </si>
  <si>
    <t>Registrarlo en docfacil.tu-app.co/doctor/register?vnd=TU_CODIGO</t>
  </si>
  <si>
    <t>Configurar con él</t>
  </si>
  <si>
    <t>Ayudar a subir 5-10 pacientes iniciales</t>
  </si>
  <si>
    <t>Agendar seguimiento</t>
  </si>
  <si>
    <t>Llamada en 3 días para ver cómo va</t>
  </si>
  <si>
    <t>Cierre formal</t>
  </si>
  <si>
    <t>Al día 12: "¿Qué te parece si activamos el plan Pro?"</t>
  </si>
  <si>
    <t>Primer pago</t>
  </si>
  <si>
    <t>Se carga tu comisión del 50% (primera mitad)</t>
  </si>
  <si>
    <t>Seguimiento mes 2</t>
  </si>
  <si>
    <t>Asegurar que renueva para recibir la segunda mitad de comisión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</si>
</sst>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x&quot;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8"/>
      <color rgb="FFFFFFFF"/>
      <name val="Calibri"/>
    </font>
    <font>
      <b val="1"/>
      <i val="0"/>
      <strike val="0"/>
      <u val="none"/>
      <sz val="14"/>
      <color rgb="FF0891B2"/>
      <name val="Calibri"/>
    </font>
    <font>
      <b val="1"/>
      <i val="0"/>
      <strike val="0"/>
      <u val="none"/>
      <sz val="11"/>
      <color rgb="FF0D9488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2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65F46"/>
      <name val="Calibri"/>
    </font>
    <font>
      <b val="1"/>
      <i val="0"/>
      <strike val="0"/>
      <u val="none"/>
      <sz val="11"/>
      <color rgb="FF7C3AED"/>
      <name val="Calibri"/>
    </font>
    <font>
      <b val="1"/>
      <i val="0"/>
      <strike val="0"/>
      <u val="none"/>
      <sz val="14"/>
      <color rgb="FF0D9488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D9488"/>
      <name val="Calibri"/>
    </font>
    <font>
      <b val="1"/>
      <i val="0"/>
      <strike val="0"/>
      <u val="none"/>
      <sz val="13"/>
      <color rgb="FF0D9488"/>
      <name val="Calibri"/>
    </font>
    <font>
      <b val="0"/>
      <i val="1"/>
      <strike val="0"/>
      <u val="none"/>
      <sz val="11"/>
      <color rgb="FF64748B"/>
      <name val="Calibri"/>
    </font>
    <font>
      <b val="0"/>
      <i val="0"/>
      <strike val="0"/>
      <u val="none"/>
      <sz val="11"/>
      <color rgb="FF0D9488"/>
      <name val="Calibri"/>
    </font>
    <font>
      <b val="0"/>
      <i val="0"/>
      <strike val="0"/>
      <u val="none"/>
      <sz val="16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F0FDFA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3E8FF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3" borderId="0" applyFont="1" applyNumberFormat="0" applyFill="1" applyBorder="0" applyAlignment="0"/>
    <xf xfId="0" fontId="0" numFmtId="0" fillId="0" borderId="1" applyFont="0" applyNumberFormat="0" applyFill="0" applyBorder="1" applyAlignment="0"/>
    <xf xfId="0" fontId="7" numFmtId="0" fillId="4" borderId="1" applyFont="1" applyNumberFormat="0" applyFill="1" applyBorder="1" applyAlignment="0"/>
    <xf xfId="0" fontId="8" numFmtId="0" fillId="5" borderId="0" applyFont="1" applyNumberFormat="0" applyFill="1" applyBorder="0" applyAlignment="0"/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9" numFmtId="0" fillId="6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7" numFmtId="0" fillId="4" borderId="1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2" numFmtId="0" fillId="8" borderId="0" applyFont="1" applyNumberFormat="0" applyFill="1" applyBorder="0" applyAlignment="1">
      <alignment horizontal="center" vertical="bottom" textRotation="0" wrapText="false" shrinkToFit="false"/>
    </xf>
    <xf xfId="0" fontId="13" numFmtId="0" fillId="9" borderId="1" applyFont="1" applyNumberFormat="0" applyFill="1" applyBorder="1" applyAlignment="0"/>
    <xf xfId="0" fontId="0" numFmtId="164" fillId="0" borderId="0" applyFont="0" applyNumberFormat="1" applyFill="0" applyBorder="0" applyAlignment="0"/>
    <xf xfId="0" fontId="13" numFmtId="0" fillId="4" borderId="1" applyFont="1" applyNumberFormat="0" applyFill="1" applyBorder="1" applyAlignment="0"/>
    <xf xfId="0" fontId="0" numFmtId="164" fillId="0" borderId="1" applyFont="0" applyNumberFormat="1" applyFill="0" applyBorder="1" applyAlignment="0"/>
    <xf xfId="0" fontId="13" numFmtId="164" fillId="4" borderId="1" applyFont="1" applyNumberFormat="1" applyFill="1" applyBorder="1" applyAlignment="0"/>
    <xf xfId="0" fontId="14" numFmtId="0" fillId="0" borderId="0" applyFont="1" applyNumberFormat="0" applyFill="0" applyBorder="0" applyAlignment="0"/>
    <xf xfId="0" fontId="14" numFmtId="165" fillId="0" borderId="0" applyFont="1" applyNumberFormat="1" applyFill="0" applyBorder="0" applyAlignment="0"/>
    <xf xfId="0" fontId="5" numFmtId="0" fillId="8" borderId="0" applyFont="1" applyNumberFormat="0" applyFill="1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0"/>
    <xf xfId="0" fontId="17" numFmtId="0" fillId="0" borderId="1" applyFont="1" applyNumberFormat="0" applyFill="0" applyBorder="1" applyAlignment="0"/>
    <xf xfId="0" fontId="18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28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60">
      <c r="A1" s="1" t="s">
        <v>0</v>
      </c>
    </row>
    <row r="2" spans="1:6" customHeight="1" ht="25">
      <c r="A2" s="2" t="s">
        <v>1</v>
      </c>
    </row>
    <row r="4" spans="1:6">
      <c r="A4" s="3"/>
    </row>
    <row r="5" spans="1:6">
      <c r="A5" s="4" t="s">
        <v>2</v>
      </c>
    </row>
    <row r="6" spans="1:6">
      <c r="A6" s="3" t="s">
        <v>3</v>
      </c>
      <c r="B6" t="s">
        <v>4</v>
      </c>
    </row>
    <row r="7" spans="1:6">
      <c r="A7" s="3" t="s">
        <v>5</v>
      </c>
      <c r="B7" t="s">
        <v>6</v>
      </c>
    </row>
    <row r="8" spans="1:6">
      <c r="A8" s="3" t="s">
        <v>7</v>
      </c>
      <c r="B8" t="s">
        <v>8</v>
      </c>
    </row>
    <row r="9" spans="1:6">
      <c r="A9" s="3" t="s">
        <v>9</v>
      </c>
      <c r="B9" t="s">
        <v>10</v>
      </c>
    </row>
    <row r="10" spans="1:6">
      <c r="A10" s="3" t="s">
        <v>11</v>
      </c>
      <c r="B10" t="s">
        <v>12</v>
      </c>
    </row>
    <row r="11" spans="1:6">
      <c r="A11" s="3" t="s">
        <v>13</v>
      </c>
      <c r="B11" t="s">
        <v>14</v>
      </c>
    </row>
    <row r="12" spans="1:6">
      <c r="A12" s="3" t="s">
        <v>15</v>
      </c>
      <c r="B12" t="s">
        <v>16</v>
      </c>
    </row>
    <row r="13" spans="1:6">
      <c r="A13" s="3" t="s">
        <v>17</v>
      </c>
      <c r="B13" t="s">
        <v>18</v>
      </c>
    </row>
  </sheetData>
  <mergeCells>
    <mergeCell ref="A1:F1"/>
    <mergeCell ref="A2:F2"/>
    <mergeCell ref="B4:F4"/>
    <mergeCell ref="A5:F5"/>
    <mergeCell ref="B6:F6"/>
    <mergeCell ref="B7:F7"/>
    <mergeCell ref="B8:F8"/>
    <mergeCell ref="B9:F9"/>
    <mergeCell ref="B10:F10"/>
    <mergeCell ref="B11:F11"/>
    <mergeCell ref="B12:F12"/>
    <mergeCell ref="B13:F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8" customWidth="true" style="0"/>
    <col min="4" max="4" width="18" customWidth="true" style="0"/>
    <col min="5" max="5" width="18" customWidth="true" style="0"/>
    <col min="6" max="6" width="45" customWidth="true" style="0"/>
  </cols>
  <sheetData>
    <row r="1" spans="1:6" customHeight="1" ht="40">
      <c r="A1" s="6" t="s">
        <v>19</v>
      </c>
    </row>
    <row r="3" spans="1:6" customHeight="1" ht="25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</row>
    <row r="4" spans="1:6">
      <c r="A4" s="8" t="s">
        <v>26</v>
      </c>
      <c r="B4" s="8" t="s">
        <v>27</v>
      </c>
      <c r="C4" s="8" t="s">
        <v>28</v>
      </c>
      <c r="D4" s="8">
        <v>1</v>
      </c>
      <c r="E4" s="8">
        <v>30</v>
      </c>
      <c r="F4" s="8" t="s">
        <v>29</v>
      </c>
    </row>
    <row r="5" spans="1:6">
      <c r="A5" s="8" t="s">
        <v>30</v>
      </c>
      <c r="B5" s="8" t="s">
        <v>31</v>
      </c>
      <c r="C5" s="8" t="s">
        <v>32</v>
      </c>
      <c r="D5" s="8">
        <v>1</v>
      </c>
      <c r="E5" s="8">
        <v>200</v>
      </c>
      <c r="F5" s="8" t="s">
        <v>33</v>
      </c>
    </row>
    <row r="6" spans="1:6">
      <c r="A6" s="9" t="s">
        <v>34</v>
      </c>
      <c r="B6" s="9" t="s">
        <v>35</v>
      </c>
      <c r="C6" s="9" t="s">
        <v>36</v>
      </c>
      <c r="D6" s="9">
        <v>3</v>
      </c>
      <c r="E6" s="9" t="s">
        <v>37</v>
      </c>
      <c r="F6" s="9" t="s">
        <v>38</v>
      </c>
    </row>
    <row r="7" spans="1:6">
      <c r="A7" s="8" t="s">
        <v>39</v>
      </c>
      <c r="B7" s="8" t="s">
        <v>40</v>
      </c>
      <c r="C7" s="8" t="s">
        <v>41</v>
      </c>
      <c r="D7" s="8" t="s">
        <v>37</v>
      </c>
      <c r="E7" s="8" t="s">
        <v>37</v>
      </c>
      <c r="F7" s="8" t="s">
        <v>42</v>
      </c>
    </row>
    <row r="10" spans="1:6" customHeight="1" ht="25">
      <c r="A10" s="10" t="s">
        <v>43</v>
      </c>
    </row>
  </sheetData>
  <mergeCells>
    <mergeCell ref="A1:F1"/>
    <mergeCell ref="A10:F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B27" sqref="B27:E27"/>
    </sheetView>
  </sheetViews>
  <sheetFormatPr defaultRowHeight="14.4" outlineLevelRow="0" outlineLevelCol="0"/>
  <cols>
    <col min="1" max="1" width="40" customWidth="true" style="0"/>
    <col min="2" max="2" width="12" customWidth="true" style="0"/>
    <col min="3" max="3" width="16" customWidth="true" style="0"/>
    <col min="4" max="4" width="16" customWidth="true" style="0"/>
    <col min="5" max="5" width="18" customWidth="true" style="0"/>
  </cols>
  <sheetData>
    <row r="1" spans="1:5" customHeight="1" ht="40">
      <c r="A1" s="6" t="s">
        <v>44</v>
      </c>
    </row>
    <row r="3" spans="1:5" customHeight="1" ht="25">
      <c r="A3" s="11" t="s">
        <v>45</v>
      </c>
      <c r="B3" s="11" t="s">
        <v>46</v>
      </c>
      <c r="C3" s="11" t="s">
        <v>47</v>
      </c>
      <c r="D3" s="11" t="s">
        <v>48</v>
      </c>
      <c r="E3" s="11" t="s">
        <v>49</v>
      </c>
    </row>
    <row r="4" spans="1:5">
      <c r="A4" s="8" t="s">
        <v>50</v>
      </c>
      <c r="B4" s="12">
        <v>30</v>
      </c>
      <c r="C4" s="12">
        <v>200</v>
      </c>
      <c r="D4" s="12" t="s">
        <v>37</v>
      </c>
      <c r="E4" s="12" t="s">
        <v>37</v>
      </c>
    </row>
    <row r="5" spans="1:5">
      <c r="A5" s="8" t="s">
        <v>51</v>
      </c>
      <c r="B5" s="12">
        <v>20</v>
      </c>
      <c r="C5" s="12" t="s">
        <v>52</v>
      </c>
      <c r="D5" s="12" t="s">
        <v>52</v>
      </c>
      <c r="E5" s="12" t="s">
        <v>52</v>
      </c>
    </row>
    <row r="6" spans="1:5">
      <c r="A6" s="8" t="s">
        <v>53</v>
      </c>
      <c r="B6" s="12">
        <v>1</v>
      </c>
      <c r="C6" s="12">
        <v>1</v>
      </c>
      <c r="D6" s="12">
        <v>3</v>
      </c>
      <c r="E6" s="12" t="s">
        <v>37</v>
      </c>
    </row>
    <row r="7" spans="1:5">
      <c r="A7" s="8" t="s">
        <v>54</v>
      </c>
      <c r="B7" s="12" t="s">
        <v>55</v>
      </c>
      <c r="C7" s="12" t="s">
        <v>55</v>
      </c>
      <c r="D7" s="12" t="s">
        <v>55</v>
      </c>
      <c r="E7" s="12" t="s">
        <v>56</v>
      </c>
    </row>
    <row r="8" spans="1:5">
      <c r="A8" s="8"/>
      <c r="B8" s="12"/>
      <c r="C8" s="12"/>
      <c r="D8" s="12"/>
      <c r="E8" s="12"/>
    </row>
    <row r="9" spans="1:5">
      <c r="A9" s="13" t="s">
        <v>57</v>
      </c>
    </row>
    <row r="10" spans="1:5">
      <c r="A10" s="8" t="s">
        <v>58</v>
      </c>
      <c r="B10" s="12" t="s">
        <v>55</v>
      </c>
      <c r="C10" s="12" t="s">
        <v>56</v>
      </c>
      <c r="D10" s="12" t="s">
        <v>56</v>
      </c>
      <c r="E10" s="12" t="s">
        <v>56</v>
      </c>
    </row>
    <row r="11" spans="1:5">
      <c r="A11" s="8" t="s">
        <v>59</v>
      </c>
      <c r="B11" s="12" t="s">
        <v>55</v>
      </c>
      <c r="C11" s="12" t="s">
        <v>56</v>
      </c>
      <c r="D11" s="12" t="s">
        <v>56</v>
      </c>
      <c r="E11" s="12" t="s">
        <v>56</v>
      </c>
    </row>
    <row r="12" spans="1:5">
      <c r="A12" s="8" t="s">
        <v>60</v>
      </c>
      <c r="B12" s="12" t="s">
        <v>55</v>
      </c>
      <c r="C12" s="12" t="s">
        <v>56</v>
      </c>
      <c r="D12" s="12" t="s">
        <v>56</v>
      </c>
      <c r="E12" s="12" t="s">
        <v>56</v>
      </c>
    </row>
    <row r="13" spans="1:5">
      <c r="A13" s="8" t="s">
        <v>61</v>
      </c>
      <c r="B13" s="12" t="s">
        <v>55</v>
      </c>
      <c r="C13" s="12" t="s">
        <v>56</v>
      </c>
      <c r="D13" s="12" t="s">
        <v>56</v>
      </c>
      <c r="E13" s="12" t="s">
        <v>56</v>
      </c>
    </row>
    <row r="14" spans="1:5">
      <c r="A14" s="8" t="s">
        <v>62</v>
      </c>
      <c r="B14" s="12" t="s">
        <v>56</v>
      </c>
      <c r="C14" s="12" t="s">
        <v>56</v>
      </c>
      <c r="D14" s="12" t="s">
        <v>56</v>
      </c>
      <c r="E14" s="12" t="s">
        <v>56</v>
      </c>
    </row>
    <row r="15" spans="1:5">
      <c r="A15" s="8"/>
      <c r="B15" s="12"/>
      <c r="C15" s="12"/>
      <c r="D15" s="12"/>
      <c r="E15" s="12"/>
    </row>
    <row r="16" spans="1:5">
      <c r="A16" s="13" t="s">
        <v>63</v>
      </c>
    </row>
    <row r="17" spans="1:5">
      <c r="A17" s="8" t="s">
        <v>64</v>
      </c>
      <c r="B17" s="12" t="s">
        <v>55</v>
      </c>
      <c r="C17" s="12" t="s">
        <v>55</v>
      </c>
      <c r="D17" s="12" t="s">
        <v>56</v>
      </c>
      <c r="E17" s="12" t="s">
        <v>56</v>
      </c>
    </row>
    <row r="18" spans="1:5">
      <c r="A18" s="8" t="s">
        <v>65</v>
      </c>
      <c r="B18" s="12" t="s">
        <v>55</v>
      </c>
      <c r="C18" s="12" t="s">
        <v>55</v>
      </c>
      <c r="D18" s="12" t="s">
        <v>56</v>
      </c>
      <c r="E18" s="12" t="s">
        <v>56</v>
      </c>
    </row>
    <row r="19" spans="1:5">
      <c r="A19" s="8" t="s">
        <v>66</v>
      </c>
      <c r="B19" s="12" t="s">
        <v>55</v>
      </c>
      <c r="C19" s="12" t="s">
        <v>55</v>
      </c>
      <c r="D19" s="12" t="s">
        <v>56</v>
      </c>
      <c r="E19" s="12" t="s">
        <v>56</v>
      </c>
    </row>
    <row r="20" spans="1:5">
      <c r="A20" s="8" t="s">
        <v>67</v>
      </c>
      <c r="B20" s="12" t="s">
        <v>55</v>
      </c>
      <c r="C20" s="12" t="s">
        <v>55</v>
      </c>
      <c r="D20" s="12" t="s">
        <v>56</v>
      </c>
      <c r="E20" s="12" t="s">
        <v>56</v>
      </c>
    </row>
    <row r="21" spans="1:5">
      <c r="A21" s="8" t="s">
        <v>68</v>
      </c>
      <c r="B21" s="12" t="s">
        <v>55</v>
      </c>
      <c r="C21" s="12" t="s">
        <v>55</v>
      </c>
      <c r="D21" s="12" t="s">
        <v>56</v>
      </c>
      <c r="E21" s="12" t="s">
        <v>56</v>
      </c>
    </row>
    <row r="22" spans="1:5">
      <c r="A22" s="8"/>
      <c r="B22" s="12"/>
      <c r="C22" s="12"/>
      <c r="D22" s="12"/>
      <c r="E22" s="12"/>
    </row>
    <row r="23" spans="1:5">
      <c r="A23" s="13" t="s">
        <v>69</v>
      </c>
    </row>
    <row r="24" spans="1:5">
      <c r="A24" s="8" t="s">
        <v>70</v>
      </c>
      <c r="B24" s="12" t="s">
        <v>55</v>
      </c>
      <c r="C24" s="12" t="s">
        <v>55</v>
      </c>
      <c r="D24" s="12" t="s">
        <v>55</v>
      </c>
      <c r="E24" s="12" t="s">
        <v>56</v>
      </c>
    </row>
    <row r="25" spans="1:5">
      <c r="A25" s="8" t="s">
        <v>71</v>
      </c>
      <c r="B25" s="12" t="s">
        <v>55</v>
      </c>
      <c r="C25" s="12" t="s">
        <v>55</v>
      </c>
      <c r="D25" s="12" t="s">
        <v>55</v>
      </c>
      <c r="E25" s="12" t="s">
        <v>56</v>
      </c>
    </row>
    <row r="26" spans="1:5">
      <c r="A26" s="8" t="s">
        <v>72</v>
      </c>
      <c r="B26" s="12" t="s">
        <v>55</v>
      </c>
      <c r="C26" s="12" t="s">
        <v>55</v>
      </c>
      <c r="D26" s="12" t="s">
        <v>55</v>
      </c>
      <c r="E26" s="12" t="s">
        <v>56</v>
      </c>
    </row>
    <row r="27" spans="1:5">
      <c r="A27" s="8" t="s">
        <v>73</v>
      </c>
      <c r="B27" s="12" t="s">
        <v>55</v>
      </c>
      <c r="C27" s="12" t="s">
        <v>55</v>
      </c>
      <c r="D27" s="12" t="s">
        <v>55</v>
      </c>
      <c r="E27" s="12" t="s">
        <v>56</v>
      </c>
    </row>
  </sheetData>
  <mergeCells>
    <mergeCell ref="A1:E1"/>
    <mergeCell ref="A9:E9"/>
    <mergeCell ref="A16:E16"/>
    <mergeCell ref="A23:E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20" customWidth="true" style="0"/>
    <col min="2" max="2" width="16" customWidth="true" style="0"/>
    <col min="3" max="3" width="20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40">
      <c r="A1" s="14" t="s">
        <v>74</v>
      </c>
    </row>
    <row r="3" spans="1:7">
      <c r="A3" s="11" t="s">
        <v>75</v>
      </c>
      <c r="B3" s="11" t="s">
        <v>21</v>
      </c>
      <c r="C3" s="11" t="s">
        <v>76</v>
      </c>
      <c r="D3" s="11" t="s">
        <v>77</v>
      </c>
      <c r="E3" s="11" t="s">
        <v>78</v>
      </c>
      <c r="F3" s="11" t="s">
        <v>79</v>
      </c>
      <c r="G3" s="11" t="s">
        <v>80</v>
      </c>
    </row>
    <row r="4" spans="1:7">
      <c r="A4" s="9" t="s">
        <v>81</v>
      </c>
      <c r="B4" s="15" t="s">
        <v>35</v>
      </c>
      <c r="C4" s="15" t="s">
        <v>56</v>
      </c>
      <c r="D4" s="15" t="s">
        <v>56</v>
      </c>
      <c r="E4" s="15" t="s">
        <v>82</v>
      </c>
      <c r="F4" s="15" t="s">
        <v>56</v>
      </c>
      <c r="G4" s="15" t="s">
        <v>56</v>
      </c>
    </row>
    <row r="5" spans="1:7">
      <c r="A5" s="8" t="s">
        <v>83</v>
      </c>
      <c r="B5" s="12" t="s">
        <v>84</v>
      </c>
      <c r="C5" s="12" t="s">
        <v>55</v>
      </c>
      <c r="D5" s="12" t="s">
        <v>55</v>
      </c>
      <c r="E5" s="12" t="s">
        <v>85</v>
      </c>
      <c r="F5" s="12" t="s">
        <v>86</v>
      </c>
      <c r="G5" s="12" t="s">
        <v>56</v>
      </c>
    </row>
    <row r="6" spans="1:7">
      <c r="A6" s="8" t="s">
        <v>87</v>
      </c>
      <c r="B6" s="12" t="s">
        <v>88</v>
      </c>
      <c r="C6" s="12" t="s">
        <v>56</v>
      </c>
      <c r="D6" s="12" t="s">
        <v>86</v>
      </c>
      <c r="E6" s="12" t="s">
        <v>55</v>
      </c>
      <c r="F6" s="12" t="s">
        <v>56</v>
      </c>
      <c r="G6" s="12" t="s">
        <v>56</v>
      </c>
    </row>
    <row r="7" spans="1:7">
      <c r="A7" s="8" t="s">
        <v>89</v>
      </c>
      <c r="B7" s="12" t="s">
        <v>90</v>
      </c>
      <c r="C7" s="12" t="s">
        <v>55</v>
      </c>
      <c r="D7" s="12" t="s">
        <v>55</v>
      </c>
      <c r="E7" s="12" t="s">
        <v>85</v>
      </c>
      <c r="F7" s="12" t="s">
        <v>55</v>
      </c>
      <c r="G7" s="12" t="s">
        <v>56</v>
      </c>
    </row>
    <row r="8" spans="1:7">
      <c r="A8" s="8" t="s">
        <v>91</v>
      </c>
      <c r="B8" s="12" t="s">
        <v>92</v>
      </c>
      <c r="C8" s="12" t="s">
        <v>56</v>
      </c>
      <c r="D8" s="12" t="s">
        <v>55</v>
      </c>
      <c r="E8" s="12" t="s">
        <v>55</v>
      </c>
      <c r="F8" s="12" t="s">
        <v>56</v>
      </c>
      <c r="G8" s="12" t="s">
        <v>93</v>
      </c>
    </row>
    <row r="11" spans="1:7" customHeight="1" ht="30">
      <c r="A11" s="17" t="s">
        <v>94</v>
      </c>
    </row>
  </sheetData>
  <mergeCells>
    <mergeCell ref="A1:G1"/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8"/>
  <sheetViews>
    <sheetView tabSelected="0" workbookViewId="0" showGridLines="true" showRowColHeaders="1">
      <selection activeCell="A28" sqref="A28:B28"/>
    </sheetView>
  </sheetViews>
  <sheetFormatPr defaultRowHeight="14.4" outlineLevelRow="0" outlineLevelCol="0"/>
  <cols>
    <col min="1" max="1" width="25" customWidth="true" style="0"/>
    <col min="2" max="2" width="90" customWidth="true" style="0"/>
  </cols>
  <sheetData>
    <row r="1" spans="1:2" customHeight="1" ht="40">
      <c r="A1" s="5" t="s">
        <v>95</v>
      </c>
    </row>
    <row r="3" spans="1:2">
      <c r="A3" s="18" t="s">
        <v>96</v>
      </c>
    </row>
    <row r="4" spans="1:2" customHeight="1" ht="50">
      <c r="A4" s="19" t="s">
        <v>97</v>
      </c>
      <c r="B4" s="20" t="s">
        <v>98</v>
      </c>
    </row>
    <row r="5" spans="1:2" customHeight="1" ht="50">
      <c r="A5" s="19"/>
      <c r="B5" s="20"/>
    </row>
    <row r="6" spans="1:2">
      <c r="A6" s="18" t="s">
        <v>99</v>
      </c>
    </row>
    <row r="7" spans="1:2" customHeight="1" ht="50">
      <c r="A7" s="19" t="s">
        <v>100</v>
      </c>
      <c r="B7" s="20" t="s">
        <v>101</v>
      </c>
    </row>
    <row r="8" spans="1:2" customHeight="1" ht="50">
      <c r="A8" s="19" t="s">
        <v>102</v>
      </c>
      <c r="B8" s="20" t="s">
        <v>103</v>
      </c>
    </row>
    <row r="9" spans="1:2" customHeight="1" ht="50">
      <c r="A9" s="19" t="s">
        <v>104</v>
      </c>
      <c r="B9" s="20" t="s">
        <v>105</v>
      </c>
    </row>
    <row r="10" spans="1:2" customHeight="1" ht="50">
      <c r="A10" s="19"/>
      <c r="B10" s="20"/>
    </row>
    <row r="11" spans="1:2">
      <c r="A11" s="18" t="s">
        <v>106</v>
      </c>
    </row>
    <row r="12" spans="1:2" customHeight="1" ht="50">
      <c r="A12" s="19" t="s">
        <v>107</v>
      </c>
      <c r="B12" s="20" t="s">
        <v>108</v>
      </c>
    </row>
    <row r="13" spans="1:2" customHeight="1" ht="50">
      <c r="A13" s="19" t="s">
        <v>109</v>
      </c>
      <c r="B13" s="20" t="s">
        <v>110</v>
      </c>
    </row>
    <row r="14" spans="1:2" customHeight="1" ht="50">
      <c r="A14" s="19" t="s">
        <v>111</v>
      </c>
      <c r="B14" s="20" t="s">
        <v>112</v>
      </c>
    </row>
    <row r="15" spans="1:2" customHeight="1" ht="50">
      <c r="A15" s="19" t="s">
        <v>113</v>
      </c>
      <c r="B15" s="20" t="s">
        <v>114</v>
      </c>
    </row>
    <row r="16" spans="1:2" customHeight="1" ht="50">
      <c r="A16" s="19" t="s">
        <v>115</v>
      </c>
      <c r="B16" s="20" t="s">
        <v>116</v>
      </c>
    </row>
    <row r="17" spans="1:2" customHeight="1" ht="50">
      <c r="A17" s="19"/>
      <c r="B17" s="20"/>
    </row>
    <row r="18" spans="1:2">
      <c r="A18" s="18" t="s">
        <v>117</v>
      </c>
    </row>
    <row r="19" spans="1:2" customHeight="1" ht="50">
      <c r="A19" s="19" t="s">
        <v>118</v>
      </c>
      <c r="B19" s="20" t="s">
        <v>119</v>
      </c>
    </row>
    <row r="20" spans="1:2" customHeight="1" ht="50">
      <c r="A20" s="19" t="s">
        <v>120</v>
      </c>
      <c r="B20" s="20" t="s">
        <v>121</v>
      </c>
    </row>
    <row r="21" spans="1:2" customHeight="1" ht="50">
      <c r="A21" s="19"/>
      <c r="B21" s="20"/>
    </row>
    <row r="22" spans="1:2">
      <c r="A22" s="18" t="s">
        <v>122</v>
      </c>
    </row>
    <row r="23" spans="1:2" customHeight="1" ht="50">
      <c r="A23" s="19" t="s">
        <v>123</v>
      </c>
      <c r="B23" s="20" t="s">
        <v>124</v>
      </c>
    </row>
    <row r="24" spans="1:2" customHeight="1" ht="50">
      <c r="A24" s="19" t="s">
        <v>125</v>
      </c>
      <c r="B24" s="20" t="s">
        <v>126</v>
      </c>
    </row>
    <row r="25" spans="1:2" customHeight="1" ht="50">
      <c r="A25" s="19" t="s">
        <v>127</v>
      </c>
      <c r="B25" s="20" t="s">
        <v>128</v>
      </c>
    </row>
    <row r="26" spans="1:2" customHeight="1" ht="50">
      <c r="A26" s="19" t="s">
        <v>129</v>
      </c>
      <c r="B26" s="20" t="s">
        <v>130</v>
      </c>
    </row>
    <row r="27" spans="1:2" customHeight="1" ht="50">
      <c r="A27" s="19" t="s">
        <v>131</v>
      </c>
      <c r="B27" s="20" t="s">
        <v>132</v>
      </c>
    </row>
    <row r="28" spans="1:2" customHeight="1" ht="50">
      <c r="A28" s="19" t="s">
        <v>133</v>
      </c>
      <c r="B28" s="20" t="s">
        <v>134</v>
      </c>
    </row>
  </sheetData>
  <mergeCells>
    <mergeCell ref="A1:B1"/>
    <mergeCell ref="A3:B3"/>
    <mergeCell ref="A6:B6"/>
    <mergeCell ref="A11:B11"/>
    <mergeCell ref="A18:B18"/>
    <mergeCell ref="A22:B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tabSelected="0" workbookViewId="0" showGridLines="true" showRowColHeaders="1">
      <selection activeCell="A14" sqref="A14:B14"/>
    </sheetView>
  </sheetViews>
  <sheetFormatPr defaultRowHeight="14.4" outlineLevelRow="0" outlineLevelCol="0"/>
  <cols>
    <col min="1" max="1" width="40" customWidth="true" style="0"/>
    <col min="2" max="2" width="18" customWidth="true" style="0"/>
    <col min="3" max="3" width="45" customWidth="true" style="0"/>
  </cols>
  <sheetData>
    <row r="1" spans="1:3" customHeight="1" ht="40">
      <c r="A1" s="21" t="s">
        <v>135</v>
      </c>
    </row>
    <row r="3" spans="1:3">
      <c r="A3" s="4" t="s">
        <v>136</v>
      </c>
    </row>
    <row r="4" spans="1:3">
      <c r="A4" s="8" t="s">
        <v>137</v>
      </c>
      <c r="B4" s="22">
        <v>80</v>
      </c>
      <c r="C4" s="8" t="s">
        <v>138</v>
      </c>
    </row>
    <row r="5" spans="1:3">
      <c r="A5" s="8" t="s">
        <v>139</v>
      </c>
      <c r="B5" s="22">
        <v>500</v>
      </c>
      <c r="C5" s="8" t="s">
        <v>140</v>
      </c>
    </row>
    <row r="6" spans="1:3">
      <c r="A6" s="8" t="s">
        <v>141</v>
      </c>
      <c r="B6" s="22">
        <v>10</v>
      </c>
      <c r="C6" s="8" t="s">
        <v>142</v>
      </c>
    </row>
    <row r="8" spans="1:3">
      <c r="A8" s="16" t="s">
        <v>143</v>
      </c>
    </row>
    <row r="9" spans="1:3">
      <c r="A9" s="8" t="s">
        <v>144</v>
      </c>
      <c r="B9" s="25">
        <f>B6*0.6*4*(B5/0.5)</f>
        <v>24000</v>
      </c>
      <c r="C9" s="8" t="s">
        <v>145</v>
      </c>
    </row>
    <row r="10" spans="1:3">
      <c r="A10" s="8" t="s">
        <v>146</v>
      </c>
      <c r="B10" s="25">
        <f>B4*0.08*B5</f>
        <v>3200</v>
      </c>
      <c r="C10" s="8" t="s">
        <v>147</v>
      </c>
    </row>
    <row r="11" spans="1:3">
      <c r="A11" s="24" t="s">
        <v>148</v>
      </c>
      <c r="B11" s="26">
        <f>B9+B10</f>
        <v>27200</v>
      </c>
      <c r="C11" s="24" t="s">
        <v>149</v>
      </c>
    </row>
    <row r="13" spans="1:3">
      <c r="A13" t="s">
        <v>150</v>
      </c>
      <c r="B13" s="23">
        <v>299</v>
      </c>
    </row>
    <row r="14" spans="1:3">
      <c r="A14" s="27" t="s">
        <v>151</v>
      </c>
      <c r="B14" s="28">
        <f>B11/B13</f>
        <v>90.96989966555184</v>
      </c>
    </row>
  </sheetData>
  <mergeCells>
    <mergeCell ref="A1:C1"/>
    <mergeCell ref="A3:C3"/>
    <mergeCell ref="A8:C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9"/>
  <sheetViews>
    <sheetView tabSelected="0" workbookViewId="0" showGridLines="true" showRowColHeaders="1">
      <selection activeCell="A19" sqref="A19:D19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8" customWidth="true" style="0"/>
    <col min="4" max="4" width="25" customWidth="true" style="0"/>
  </cols>
  <sheetData>
    <row r="1" spans="1:4" customHeight="1" ht="40">
      <c r="A1" s="29" t="s">
        <v>152</v>
      </c>
    </row>
    <row r="3" spans="1:4">
      <c r="A3" s="30" t="s">
        <v>153</v>
      </c>
    </row>
    <row r="4" spans="1:4">
      <c r="A4" s="31" t="s">
        <v>154</v>
      </c>
    </row>
    <row r="6" spans="1:4" customHeight="1" ht="25">
      <c r="A6" s="11" t="s">
        <v>20</v>
      </c>
      <c r="B6" s="11" t="s">
        <v>155</v>
      </c>
      <c r="C6" s="11" t="s">
        <v>156</v>
      </c>
      <c r="D6" s="11" t="s">
        <v>157</v>
      </c>
    </row>
    <row r="7" spans="1:4">
      <c r="A7" s="12" t="s">
        <v>46</v>
      </c>
      <c r="B7" s="12" t="s">
        <v>27</v>
      </c>
      <c r="C7" s="12" t="s">
        <v>27</v>
      </c>
      <c r="D7" s="12" t="s">
        <v>158</v>
      </c>
    </row>
    <row r="8" spans="1:4">
      <c r="A8" s="12" t="s">
        <v>159</v>
      </c>
      <c r="B8" s="12" t="s">
        <v>31</v>
      </c>
      <c r="C8" s="12" t="s">
        <v>160</v>
      </c>
      <c r="D8" s="12" t="s">
        <v>161</v>
      </c>
    </row>
    <row r="9" spans="1:4">
      <c r="A9" s="15" t="s">
        <v>162</v>
      </c>
      <c r="B9" s="15" t="s">
        <v>35</v>
      </c>
      <c r="C9" s="15" t="s">
        <v>163</v>
      </c>
      <c r="D9" s="15" t="s">
        <v>164</v>
      </c>
    </row>
    <row r="10" spans="1:4">
      <c r="A10" s="15" t="s">
        <v>165</v>
      </c>
      <c r="B10" s="15" t="s">
        <v>40</v>
      </c>
      <c r="C10" s="15" t="s">
        <v>166</v>
      </c>
      <c r="D10" s="15" t="s">
        <v>167</v>
      </c>
    </row>
    <row r="13" spans="1:4">
      <c r="A13" s="32" t="s">
        <v>168</v>
      </c>
    </row>
    <row r="15" spans="1:4">
      <c r="A15" s="33" t="s">
        <v>169</v>
      </c>
      <c r="B15" s="33" t="s">
        <v>170</v>
      </c>
      <c r="C15" s="33" t="s">
        <v>171</v>
      </c>
      <c r="D15" s="33" t="s">
        <v>172</v>
      </c>
    </row>
    <row r="16" spans="1:4">
      <c r="A16" s="12" t="s">
        <v>173</v>
      </c>
      <c r="B16" s="12" t="s">
        <v>174</v>
      </c>
      <c r="C16" s="12" t="s">
        <v>175</v>
      </c>
      <c r="D16" s="12" t="s">
        <v>176</v>
      </c>
    </row>
    <row r="17" spans="1:4">
      <c r="A17" s="12" t="s">
        <v>177</v>
      </c>
      <c r="B17" s="12" t="s">
        <v>178</v>
      </c>
      <c r="C17" s="12" t="s">
        <v>179</v>
      </c>
      <c r="D17" s="12" t="s">
        <v>180</v>
      </c>
    </row>
    <row r="18" spans="1:4">
      <c r="A18" s="12" t="s">
        <v>181</v>
      </c>
      <c r="B18" s="12" t="s">
        <v>182</v>
      </c>
      <c r="C18" s="12" t="s">
        <v>183</v>
      </c>
      <c r="D18" s="12" t="s">
        <v>184</v>
      </c>
    </row>
    <row r="19" spans="1:4">
      <c r="A19" s="12" t="s">
        <v>185</v>
      </c>
      <c r="B19" s="12" t="s">
        <v>186</v>
      </c>
      <c r="C19" s="12" t="s">
        <v>187</v>
      </c>
      <c r="D19" s="12" t="s">
        <v>188</v>
      </c>
    </row>
  </sheetData>
  <mergeCells>
    <mergeCell ref="A1:D1"/>
    <mergeCell ref="A3:D3"/>
    <mergeCell ref="A4:D4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0"/>
  <sheetViews>
    <sheetView tabSelected="0" workbookViewId="0" showGridLines="true" showRowColHeaders="1">
      <selection activeCell="A10" sqref="A10:B10"/>
    </sheetView>
  </sheetViews>
  <sheetFormatPr defaultRowHeight="14.4" outlineLevelRow="0" outlineLevelCol="0"/>
  <cols>
    <col min="1" max="1" width="40" customWidth="true" style="0"/>
    <col min="2" max="2" width="60" customWidth="true" style="0"/>
  </cols>
  <sheetData>
    <row r="1" spans="1:2" customHeight="1" ht="40">
      <c r="A1" s="5" t="s">
        <v>189</v>
      </c>
    </row>
    <row r="3" spans="1:2" customHeight="1" ht="25">
      <c r="A3" s="34" t="s">
        <v>190</v>
      </c>
      <c r="B3" s="35" t="s">
        <v>191</v>
      </c>
    </row>
    <row r="4" spans="1:2" customHeight="1" ht="25">
      <c r="A4" s="34" t="s">
        <v>192</v>
      </c>
      <c r="B4" s="35" t="s">
        <v>193</v>
      </c>
    </row>
    <row r="5" spans="1:2" customHeight="1" ht="25">
      <c r="A5" s="34" t="s">
        <v>194</v>
      </c>
      <c r="B5" s="35" t="s">
        <v>195</v>
      </c>
    </row>
    <row r="6" spans="1:2" customHeight="1" ht="25">
      <c r="A6" s="34" t="s">
        <v>196</v>
      </c>
      <c r="B6" s="35" t="s">
        <v>197</v>
      </c>
    </row>
    <row r="7" spans="1:2" customHeight="1" ht="25">
      <c r="A7" s="34" t="s">
        <v>198</v>
      </c>
      <c r="B7" s="35" t="s">
        <v>199</v>
      </c>
    </row>
    <row r="8" spans="1:2" customHeight="1" ht="25">
      <c r="A8" s="34" t="s">
        <v>200</v>
      </c>
      <c r="B8" s="35" t="s">
        <v>201</v>
      </c>
    </row>
    <row r="9" spans="1:2" customHeight="1" ht="25">
      <c r="A9" s="34" t="s">
        <v>202</v>
      </c>
      <c r="B9" s="35" t="s">
        <v>203</v>
      </c>
    </row>
    <row r="10" spans="1:2" customHeight="1" ht="25">
      <c r="A10" s="34" t="s">
        <v>204</v>
      </c>
      <c r="B10" s="35" t="s">
        <v>205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6"/>
  <sheetViews>
    <sheetView tabSelected="1" workbookViewId="0" showGridLines="true" showRowColHeaders="1">
      <selection activeCell="A16" sqref="A16:C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60" customWidth="true" style="0"/>
  </cols>
  <sheetData>
    <row r="1" spans="1:3" customHeight="1" ht="40">
      <c r="A1" s="5" t="s">
        <v>206</v>
      </c>
    </row>
    <row r="3" spans="1:3" customHeight="1" ht="25">
      <c r="A3" s="36" t="s">
        <v>207</v>
      </c>
      <c r="B3" s="37" t="s">
        <v>208</v>
      </c>
      <c r="C3" s="8" t="s">
        <v>209</v>
      </c>
    </row>
    <row r="4" spans="1:3" customHeight="1" ht="25">
      <c r="A4" s="36" t="s">
        <v>207</v>
      </c>
      <c r="B4" s="37" t="s">
        <v>210</v>
      </c>
      <c r="C4" s="8" t="s">
        <v>211</v>
      </c>
    </row>
    <row r="5" spans="1:3" customHeight="1" ht="25">
      <c r="A5" s="36" t="s">
        <v>207</v>
      </c>
      <c r="B5" s="37" t="s">
        <v>212</v>
      </c>
      <c r="C5" s="8" t="s">
        <v>213</v>
      </c>
    </row>
    <row r="6" spans="1:3" customHeight="1" ht="25">
      <c r="A6" s="36" t="s">
        <v>207</v>
      </c>
      <c r="B6" s="37" t="s">
        <v>214</v>
      </c>
      <c r="C6" s="8" t="s">
        <v>215</v>
      </c>
    </row>
    <row r="7" spans="1:3" customHeight="1" ht="25">
      <c r="A7" s="36" t="s">
        <v>207</v>
      </c>
      <c r="B7" s="37" t="s">
        <v>216</v>
      </c>
      <c r="C7" s="8" t="s">
        <v>217</v>
      </c>
    </row>
    <row r="8" spans="1:3" customHeight="1" ht="25">
      <c r="A8" s="36" t="s">
        <v>207</v>
      </c>
      <c r="B8" s="37" t="s">
        <v>218</v>
      </c>
      <c r="C8" s="8" t="s">
        <v>219</v>
      </c>
    </row>
    <row r="9" spans="1:3" customHeight="1" ht="25">
      <c r="A9" s="36" t="s">
        <v>207</v>
      </c>
      <c r="B9" s="37" t="s">
        <v>220</v>
      </c>
      <c r="C9" s="8" t="s">
        <v>221</v>
      </c>
    </row>
    <row r="10" spans="1:3" customHeight="1" ht="25">
      <c r="A10" s="36" t="s">
        <v>207</v>
      </c>
      <c r="B10" s="37" t="s">
        <v>222</v>
      </c>
      <c r="C10" s="8" t="s">
        <v>223</v>
      </c>
    </row>
    <row r="11" spans="1:3" customHeight="1" ht="25">
      <c r="A11" s="36" t="s">
        <v>207</v>
      </c>
      <c r="B11" s="37" t="s">
        <v>224</v>
      </c>
      <c r="C11" s="8" t="s">
        <v>225</v>
      </c>
    </row>
    <row r="12" spans="1:3" customHeight="1" ht="25">
      <c r="A12" s="36" t="s">
        <v>207</v>
      </c>
      <c r="B12" s="37" t="s">
        <v>226</v>
      </c>
      <c r="C12" s="8" t="s">
        <v>227</v>
      </c>
    </row>
    <row r="13" spans="1:3" customHeight="1" ht="25">
      <c r="A13" s="36" t="s">
        <v>207</v>
      </c>
      <c r="B13" s="37" t="s">
        <v>228</v>
      </c>
      <c r="C13" s="8" t="s">
        <v>229</v>
      </c>
    </row>
    <row r="14" spans="1:3" customHeight="1" ht="25">
      <c r="A14" s="36" t="s">
        <v>207</v>
      </c>
      <c r="B14" s="37" t="s">
        <v>230</v>
      </c>
      <c r="C14" s="8" t="s">
        <v>231</v>
      </c>
    </row>
    <row r="15" spans="1:3" customHeight="1" ht="25">
      <c r="A15" s="36" t="s">
        <v>207</v>
      </c>
      <c r="B15" s="37" t="s">
        <v>232</v>
      </c>
      <c r="C15" s="8" t="s">
        <v>233</v>
      </c>
    </row>
    <row r="16" spans="1:3" customHeight="1" ht="25">
      <c r="A16" s="36" t="s">
        <v>207</v>
      </c>
      <c r="B16" s="37" t="s">
        <v>234</v>
      </c>
      <c r="C16" s="8" t="s">
        <v>235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Portada</vt:lpstr>
      <vt:lpstr>Planes y Precios</vt:lpstr>
      <vt:lpstr>Features por Plan</vt:lpstr>
      <vt:lpstr>vs Competencia</vt:lpstr>
      <vt:lpstr>Script de Venta</vt:lpstr>
      <vt:lpstr>Calculadora ROI</vt:lpstr>
      <vt:lpstr>Comisiones</vt:lpstr>
      <vt:lpstr>Links y Recursos</vt:lpstr>
      <vt:lpstr>Checklist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2026-04-11T18:34:59+00:00</dcterms:created>
  <dcterms:modified xsi:type="dcterms:W3CDTF">2026-04-11T18:34:59+00:00</dcterms:modified>
  <dc:title>Untitled Spreadsheet</dc:title>
  <dc:description/>
  <dc:subject/>
  <cp:keywords/>
  <cp:category/>
</cp:coreProperties>
</file>